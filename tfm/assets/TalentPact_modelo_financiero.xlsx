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vansanchez/Desktop/ESTRUCTURA/"/>
    </mc:Choice>
  </mc:AlternateContent>
  <xr:revisionPtr revIDLastSave="0" documentId="8_{7ED2E644-D3B5-4744-9CC4-F863211587FC}" xr6:coauthVersionLast="47" xr6:coauthVersionMax="47" xr10:uidLastSave="{00000000-0000-0000-0000-000000000000}"/>
  <bookViews>
    <workbookView xWindow="600" yWindow="660" windowWidth="16380" windowHeight="14500" tabRatio="500" activeTab="1" xr2:uid="{00000000-000D-0000-FFFF-FFFF00000000}"/>
  </bookViews>
  <sheets>
    <sheet name="Cover" sheetId="1" r:id="rId1"/>
    <sheet name="Análisis" sheetId="2" r:id="rId2"/>
    <sheet name="MODELO NORMAL" sheetId="3" r:id="rId3"/>
    <sheet name="COGS &amp; SG&amp;A" sheetId="4" r:id="rId4"/>
    <sheet name="P&amp;L" sheetId="5" r:id="rId5"/>
    <sheet name="Cashflow" sheetId="6" r:id="rId6"/>
    <sheet name="Amortizacion" sheetId="7" r:id="rId7"/>
    <sheet name="KPI Dashboard" sheetId="8" r:id="rId8"/>
    <sheet name="Balance" sheetId="9" r:id="rId9"/>
    <sheet name="Full1" sheetId="10" state="hidden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9" l="1"/>
  <c r="G4" i="9"/>
  <c r="AM25" i="6"/>
  <c r="AL25" i="6"/>
  <c r="AK25" i="6"/>
  <c r="AJ25" i="6"/>
  <c r="AI25" i="6"/>
  <c r="AH25" i="6"/>
  <c r="AG25" i="6"/>
  <c r="AF25" i="6"/>
  <c r="AE25" i="6"/>
  <c r="AD25" i="6"/>
  <c r="AC25" i="6"/>
  <c r="AP25" i="6" s="1"/>
  <c r="AB25" i="6"/>
  <c r="AA25" i="6"/>
  <c r="Z25" i="6"/>
  <c r="Y25" i="6"/>
  <c r="X25" i="6"/>
  <c r="W25" i="6"/>
  <c r="V25" i="6"/>
  <c r="U25" i="6"/>
  <c r="T25" i="6"/>
  <c r="S25" i="6"/>
  <c r="AO25" i="6" s="1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AP24" i="6"/>
  <c r="AO24" i="6"/>
  <c r="AN24" i="6"/>
  <c r="I24" i="6"/>
  <c r="AP23" i="6"/>
  <c r="AO23" i="6"/>
  <c r="AN23" i="6"/>
  <c r="D23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AO21" i="6" s="1"/>
  <c r="O21" i="6"/>
  <c r="N21" i="6"/>
  <c r="M21" i="6"/>
  <c r="L21" i="6"/>
  <c r="K21" i="6"/>
  <c r="J21" i="6"/>
  <c r="I21" i="6"/>
  <c r="H21" i="6"/>
  <c r="G21" i="6"/>
  <c r="F21" i="6"/>
  <c r="AN21" i="6" s="1"/>
  <c r="E21" i="6"/>
  <c r="D21" i="6"/>
  <c r="AP20" i="6"/>
  <c r="AO20" i="6"/>
  <c r="AN20" i="6"/>
  <c r="B4" i="9" s="1"/>
  <c r="AP16" i="6"/>
  <c r="AO16" i="6"/>
  <c r="AN16" i="6"/>
  <c r="AL14" i="6"/>
  <c r="AJ14" i="6"/>
  <c r="AD14" i="6"/>
  <c r="AB14" i="6"/>
  <c r="Z14" i="6"/>
  <c r="P14" i="6"/>
  <c r="J14" i="6"/>
  <c r="F14" i="6"/>
  <c r="AK13" i="6"/>
  <c r="AE13" i="6"/>
  <c r="AD13" i="6"/>
  <c r="L13" i="6"/>
  <c r="K13" i="6"/>
  <c r="AI47" i="4"/>
  <c r="AH47" i="4"/>
  <c r="AF47" i="4"/>
  <c r="AB47" i="4"/>
  <c r="X47" i="4"/>
  <c r="V47" i="4"/>
  <c r="F47" i="4"/>
  <c r="E47" i="4"/>
  <c r="D47" i="4"/>
  <c r="AF46" i="4"/>
  <c r="AF12" i="6" s="1"/>
  <c r="AF45" i="4"/>
  <c r="V45" i="4"/>
  <c r="V46" i="4" s="1"/>
  <c r="V12" i="6" s="1"/>
  <c r="T45" i="4"/>
  <c r="L45" i="4"/>
  <c r="L46" i="4" s="1"/>
  <c r="L12" i="6" s="1"/>
  <c r="J45" i="4"/>
  <c r="I45" i="4"/>
  <c r="H45" i="4"/>
  <c r="G45" i="4"/>
  <c r="E45" i="4"/>
  <c r="D45" i="4"/>
  <c r="AM44" i="4"/>
  <c r="AL44" i="4"/>
  <c r="AK44" i="4"/>
  <c r="AJ44" i="4"/>
  <c r="AI44" i="4"/>
  <c r="AH44" i="4"/>
  <c r="AG44" i="4"/>
  <c r="AF44" i="4"/>
  <c r="AE44" i="4"/>
  <c r="AD44" i="4"/>
  <c r="AD47" i="4" s="1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AN44" i="4" s="1"/>
  <c r="I44" i="4"/>
  <c r="H44" i="4"/>
  <c r="G44" i="4"/>
  <c r="F44" i="4"/>
  <c r="E44" i="4"/>
  <c r="D44" i="4"/>
  <c r="AM43" i="4"/>
  <c r="AL43" i="4"/>
  <c r="AK43" i="4"/>
  <c r="AJ43" i="4"/>
  <c r="AJ47" i="4" s="1"/>
  <c r="AI43" i="4"/>
  <c r="AH43" i="4"/>
  <c r="AG43" i="4"/>
  <c r="AF43" i="4"/>
  <c r="AE43" i="4"/>
  <c r="AD43" i="4"/>
  <c r="AC43" i="4"/>
  <c r="AB43" i="4"/>
  <c r="AP43" i="4" s="1"/>
  <c r="AA43" i="4"/>
  <c r="Z43" i="4"/>
  <c r="Z47" i="4" s="1"/>
  <c r="Y43" i="4"/>
  <c r="X43" i="4"/>
  <c r="W43" i="4"/>
  <c r="V43" i="4"/>
  <c r="U43" i="4"/>
  <c r="T43" i="4"/>
  <c r="T47" i="4" s="1"/>
  <c r="S43" i="4"/>
  <c r="R43" i="4"/>
  <c r="R47" i="4" s="1"/>
  <c r="Q43" i="4"/>
  <c r="P43" i="4"/>
  <c r="O43" i="4"/>
  <c r="N43" i="4"/>
  <c r="M43" i="4"/>
  <c r="L43" i="4"/>
  <c r="L47" i="4" s="1"/>
  <c r="K43" i="4"/>
  <c r="J43" i="4"/>
  <c r="J47" i="4" s="1"/>
  <c r="I43" i="4"/>
  <c r="H43" i="4"/>
  <c r="G43" i="4"/>
  <c r="F43" i="4"/>
  <c r="E43" i="4"/>
  <c r="D43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P42" i="4" s="1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AN41" i="4" s="1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H46" i="4" s="1"/>
  <c r="G40" i="4"/>
  <c r="F40" i="4"/>
  <c r="E40" i="4"/>
  <c r="D40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AO39" i="4" s="1"/>
  <c r="O39" i="4"/>
  <c r="N39" i="4"/>
  <c r="M39" i="4"/>
  <c r="L39" i="4"/>
  <c r="K39" i="4"/>
  <c r="J39" i="4"/>
  <c r="I39" i="4"/>
  <c r="H39" i="4"/>
  <c r="G39" i="4"/>
  <c r="F39" i="4"/>
  <c r="AN39" i="4" s="1"/>
  <c r="E39" i="4"/>
  <c r="D39" i="4"/>
  <c r="AM38" i="4"/>
  <c r="AL38" i="4"/>
  <c r="AK38" i="4"/>
  <c r="AK47" i="4" s="1"/>
  <c r="AJ38" i="4"/>
  <c r="AI38" i="4"/>
  <c r="AH38" i="4"/>
  <c r="AG38" i="4"/>
  <c r="AG47" i="4" s="1"/>
  <c r="AF38" i="4"/>
  <c r="AE38" i="4"/>
  <c r="AE47" i="4" s="1"/>
  <c r="AD38" i="4"/>
  <c r="AC38" i="4"/>
  <c r="AB38" i="4"/>
  <c r="AA38" i="4"/>
  <c r="AA47" i="4" s="1"/>
  <c r="Z38" i="4"/>
  <c r="Y38" i="4"/>
  <c r="Y47" i="4" s="1"/>
  <c r="X38" i="4"/>
  <c r="W38" i="4"/>
  <c r="W47" i="4" s="1"/>
  <c r="V38" i="4"/>
  <c r="U38" i="4"/>
  <c r="U47" i="4" s="1"/>
  <c r="T38" i="4"/>
  <c r="S38" i="4"/>
  <c r="R38" i="4"/>
  <c r="Q38" i="4"/>
  <c r="P38" i="4"/>
  <c r="O38" i="4"/>
  <c r="O47" i="4" s="1"/>
  <c r="N38" i="4"/>
  <c r="N47" i="4" s="1"/>
  <c r="M38" i="4"/>
  <c r="M47" i="4" s="1"/>
  <c r="L38" i="4"/>
  <c r="K38" i="4"/>
  <c r="K47" i="4" s="1"/>
  <c r="J38" i="4"/>
  <c r="I38" i="4"/>
  <c r="H38" i="4"/>
  <c r="G38" i="4"/>
  <c r="G47" i="4" s="1"/>
  <c r="F38" i="4"/>
  <c r="E38" i="4"/>
  <c r="D38" i="4"/>
  <c r="AP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G46" i="4" s="1"/>
  <c r="G12" i="6" s="1"/>
  <c r="F37" i="4"/>
  <c r="E37" i="4"/>
  <c r="D37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AO36" i="4" s="1"/>
  <c r="O36" i="4"/>
  <c r="N36" i="4"/>
  <c r="M36" i="4"/>
  <c r="L36" i="4"/>
  <c r="K36" i="4"/>
  <c r="J36" i="4"/>
  <c r="I36" i="4"/>
  <c r="I46" i="4" s="1"/>
  <c r="H36" i="4"/>
  <c r="G36" i="4"/>
  <c r="F36" i="4"/>
  <c r="E36" i="4"/>
  <c r="D36" i="4"/>
  <c r="AM35" i="4"/>
  <c r="AL35" i="4"/>
  <c r="AM13" i="6" s="1"/>
  <c r="AK35" i="4"/>
  <c r="AL13" i="6" s="1"/>
  <c r="AJ35" i="4"/>
  <c r="AI35" i="4"/>
  <c r="AJ13" i="6" s="1"/>
  <c r="AH35" i="4"/>
  <c r="AI13" i="6" s="1"/>
  <c r="AG35" i="4"/>
  <c r="AF35" i="4"/>
  <c r="AG13" i="6" s="1"/>
  <c r="AE35" i="4"/>
  <c r="AF13" i="6" s="1"/>
  <c r="AD35" i="4"/>
  <c r="AC35" i="4"/>
  <c r="AB35" i="4"/>
  <c r="AC13" i="6" s="1"/>
  <c r="AA35" i="4"/>
  <c r="AB13" i="6" s="1"/>
  <c r="Z35" i="4"/>
  <c r="AA13" i="6" s="1"/>
  <c r="Y35" i="4"/>
  <c r="Z13" i="6" s="1"/>
  <c r="X35" i="4"/>
  <c r="Y13" i="6" s="1"/>
  <c r="W35" i="4"/>
  <c r="X13" i="6" s="1"/>
  <c r="V35" i="4"/>
  <c r="W13" i="6" s="1"/>
  <c r="U35" i="4"/>
  <c r="V13" i="6" s="1"/>
  <c r="T35" i="4"/>
  <c r="U13" i="6" s="1"/>
  <c r="S35" i="4"/>
  <c r="T13" i="6" s="1"/>
  <c r="R35" i="4"/>
  <c r="S13" i="6" s="1"/>
  <c r="Q35" i="4"/>
  <c r="R13" i="6" s="1"/>
  <c r="P35" i="4"/>
  <c r="O35" i="4"/>
  <c r="P13" i="6" s="1"/>
  <c r="N35" i="4"/>
  <c r="O13" i="6" s="1"/>
  <c r="M35" i="4"/>
  <c r="N13" i="6" s="1"/>
  <c r="L35" i="4"/>
  <c r="M13" i="6" s="1"/>
  <c r="K35" i="4"/>
  <c r="J35" i="4"/>
  <c r="I35" i="4"/>
  <c r="J13" i="6" s="1"/>
  <c r="H35" i="4"/>
  <c r="I13" i="6" s="1"/>
  <c r="G35" i="4"/>
  <c r="H13" i="6" s="1"/>
  <c r="F35" i="4"/>
  <c r="G13" i="6" s="1"/>
  <c r="E35" i="4"/>
  <c r="F13" i="6" s="1"/>
  <c r="D35" i="4"/>
  <c r="AP34" i="4"/>
  <c r="E16" i="8" s="1"/>
  <c r="AM34" i="4"/>
  <c r="AM14" i="6" s="1"/>
  <c r="AL34" i="4"/>
  <c r="AK34" i="4"/>
  <c r="AJ34" i="4"/>
  <c r="AI34" i="4"/>
  <c r="AI14" i="6" s="1"/>
  <c r="AH34" i="4"/>
  <c r="AG34" i="4"/>
  <c r="AF34" i="4"/>
  <c r="AE34" i="4"/>
  <c r="AD34" i="4"/>
  <c r="AC34" i="4"/>
  <c r="AC14" i="6" s="1"/>
  <c r="AB34" i="4"/>
  <c r="AA34" i="4"/>
  <c r="AA14" i="6" s="1"/>
  <c r="Z34" i="4"/>
  <c r="Y34" i="4"/>
  <c r="X34" i="4"/>
  <c r="W34" i="4"/>
  <c r="V34" i="4"/>
  <c r="U34" i="4"/>
  <c r="T34" i="4"/>
  <c r="T14" i="6" s="1"/>
  <c r="S34" i="4"/>
  <c r="R34" i="4"/>
  <c r="R14" i="6" s="1"/>
  <c r="Q34" i="4"/>
  <c r="P34" i="4"/>
  <c r="O34" i="4"/>
  <c r="O14" i="6" s="1"/>
  <c r="N34" i="4"/>
  <c r="M34" i="4"/>
  <c r="L34" i="4"/>
  <c r="K34" i="4"/>
  <c r="J34" i="4"/>
  <c r="I34" i="4"/>
  <c r="H34" i="4"/>
  <c r="H14" i="6" s="1"/>
  <c r="G34" i="4"/>
  <c r="F34" i="4"/>
  <c r="E34" i="4"/>
  <c r="E14" i="6" s="1"/>
  <c r="D34" i="4"/>
  <c r="AM28" i="4"/>
  <c r="AM45" i="4" s="1"/>
  <c r="AL28" i="4"/>
  <c r="AL45" i="4" s="1"/>
  <c r="AK28" i="4"/>
  <c r="AK45" i="4" s="1"/>
  <c r="AK46" i="4" s="1"/>
  <c r="AK12" i="6" s="1"/>
  <c r="AJ28" i="4"/>
  <c r="AJ45" i="4" s="1"/>
  <c r="AI28" i="4"/>
  <c r="AI45" i="4" s="1"/>
  <c r="AH28" i="4"/>
  <c r="AH45" i="4" s="1"/>
  <c r="AH46" i="4" s="1"/>
  <c r="AH12" i="6" s="1"/>
  <c r="AG28" i="4"/>
  <c r="AG45" i="4" s="1"/>
  <c r="AG46" i="4" s="1"/>
  <c r="AG12" i="6" s="1"/>
  <c r="AF28" i="4"/>
  <c r="AE28" i="4"/>
  <c r="AE45" i="4" s="1"/>
  <c r="AE46" i="4" s="1"/>
  <c r="AE12" i="6" s="1"/>
  <c r="AD28" i="4"/>
  <c r="AD45" i="4" s="1"/>
  <c r="AC28" i="4"/>
  <c r="AC45" i="4" s="1"/>
  <c r="AB28" i="4"/>
  <c r="AB45" i="4" s="1"/>
  <c r="AA28" i="4"/>
  <c r="AA45" i="4" s="1"/>
  <c r="Z28" i="4"/>
  <c r="Z45" i="4" s="1"/>
  <c r="Y28" i="4"/>
  <c r="Y45" i="4" s="1"/>
  <c r="X28" i="4"/>
  <c r="X45" i="4" s="1"/>
  <c r="X46" i="4" s="1"/>
  <c r="X12" i="6" s="1"/>
  <c r="W28" i="4"/>
  <c r="W45" i="4" s="1"/>
  <c r="V28" i="4"/>
  <c r="U28" i="4"/>
  <c r="U45" i="4" s="1"/>
  <c r="U46" i="4" s="1"/>
  <c r="U12" i="6" s="1"/>
  <c r="T28" i="4"/>
  <c r="S28" i="4"/>
  <c r="S45" i="4" s="1"/>
  <c r="S46" i="4" s="1"/>
  <c r="R28" i="4"/>
  <c r="R45" i="4" s="1"/>
  <c r="Q28" i="4"/>
  <c r="Q45" i="4" s="1"/>
  <c r="Q46" i="4" s="1"/>
  <c r="P28" i="4"/>
  <c r="P45" i="4" s="1"/>
  <c r="O28" i="4"/>
  <c r="O45" i="4" s="1"/>
  <c r="N28" i="4"/>
  <c r="N45" i="4" s="1"/>
  <c r="N46" i="4" s="1"/>
  <c r="N12" i="6" s="1"/>
  <c r="M28" i="4"/>
  <c r="M45" i="4" s="1"/>
  <c r="L28" i="4"/>
  <c r="K28" i="4"/>
  <c r="K45" i="4" s="1"/>
  <c r="K46" i="4" s="1"/>
  <c r="K12" i="6" s="1"/>
  <c r="F28" i="4"/>
  <c r="F45" i="4" s="1"/>
  <c r="E28" i="4"/>
  <c r="D28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D32" i="3"/>
  <c r="D28" i="3"/>
  <c r="D25" i="3"/>
  <c r="D26" i="3" s="1"/>
  <c r="D27" i="3" s="1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D15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29" i="2"/>
  <c r="C13" i="2"/>
  <c r="C12" i="2"/>
  <c r="AP20" i="5"/>
  <c r="AO20" i="5"/>
  <c r="AN20" i="5"/>
  <c r="K16" i="5"/>
  <c r="G16" i="5"/>
  <c r="AH15" i="5"/>
  <c r="AH16" i="5" s="1"/>
  <c r="K15" i="5"/>
  <c r="AM14" i="5"/>
  <c r="AL14" i="5"/>
  <c r="AK14" i="5"/>
  <c r="AJ14" i="5"/>
  <c r="AI14" i="5"/>
  <c r="AH14" i="5"/>
  <c r="AG14" i="5"/>
  <c r="AF14" i="5"/>
  <c r="AF15" i="5" s="1"/>
  <c r="AF16" i="5" s="1"/>
  <c r="AE14" i="5"/>
  <c r="AP14" i="5" s="1"/>
  <c r="AD14" i="5"/>
  <c r="AC14" i="5"/>
  <c r="AB14" i="5"/>
  <c r="AA14" i="5"/>
  <c r="Z14" i="5"/>
  <c r="Y14" i="5"/>
  <c r="X14" i="5"/>
  <c r="W14" i="5"/>
  <c r="V14" i="5"/>
  <c r="V15" i="5" s="1"/>
  <c r="V16" i="5" s="1"/>
  <c r="U14" i="5"/>
  <c r="T14" i="5"/>
  <c r="S14" i="5"/>
  <c r="R14" i="5"/>
  <c r="Q14" i="5"/>
  <c r="AO14" i="5" s="1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K12" i="5"/>
  <c r="AJ12" i="5"/>
  <c r="AI12" i="5"/>
  <c r="AH12" i="5"/>
  <c r="AG12" i="5"/>
  <c r="AF12" i="5"/>
  <c r="AE12" i="5"/>
  <c r="AD12" i="5"/>
  <c r="AB12" i="5"/>
  <c r="AA12" i="5"/>
  <c r="Z12" i="5"/>
  <c r="Y12" i="5"/>
  <c r="X12" i="5"/>
  <c r="X15" i="5" s="1"/>
  <c r="X16" i="5" s="1"/>
  <c r="W12" i="5"/>
  <c r="V12" i="5"/>
  <c r="U12" i="5"/>
  <c r="T12" i="5"/>
  <c r="R12" i="5"/>
  <c r="O12" i="5"/>
  <c r="N12" i="5"/>
  <c r="N15" i="5" s="1"/>
  <c r="N16" i="5" s="1"/>
  <c r="M12" i="5"/>
  <c r="L12" i="5"/>
  <c r="K12" i="5"/>
  <c r="J12" i="5"/>
  <c r="G12" i="5"/>
  <c r="F12" i="5"/>
  <c r="E12" i="5"/>
  <c r="D12" i="5"/>
  <c r="AK11" i="5"/>
  <c r="AH11" i="5"/>
  <c r="AG11" i="5"/>
  <c r="AF11" i="5"/>
  <c r="AE11" i="5"/>
  <c r="AE15" i="5" s="1"/>
  <c r="AE16" i="5" s="1"/>
  <c r="X11" i="5"/>
  <c r="V11" i="5"/>
  <c r="U11" i="5"/>
  <c r="U15" i="5" s="1"/>
  <c r="U16" i="5" s="1"/>
  <c r="Q11" i="5"/>
  <c r="N11" i="5"/>
  <c r="L11" i="5"/>
  <c r="K11" i="5"/>
  <c r="I11" i="5"/>
  <c r="H11" i="5"/>
  <c r="G11" i="5"/>
  <c r="G15" i="5" s="1"/>
  <c r="D35" i="3" l="1"/>
  <c r="D34" i="3"/>
  <c r="D36" i="3"/>
  <c r="E23" i="3"/>
  <c r="D37" i="3"/>
  <c r="AK15" i="5"/>
  <c r="AK16" i="5" s="1"/>
  <c r="AG15" i="5"/>
  <c r="AG16" i="5" s="1"/>
  <c r="AN14" i="5"/>
  <c r="S11" i="5"/>
  <c r="L15" i="5"/>
  <c r="L16" i="5" s="1"/>
  <c r="D30" i="4"/>
  <c r="E30" i="3"/>
  <c r="E32" i="3" s="1"/>
  <c r="D38" i="3"/>
  <c r="F16" i="8"/>
  <c r="K48" i="4"/>
  <c r="K14" i="6"/>
  <c r="U14" i="6"/>
  <c r="U48" i="4"/>
  <c r="AE14" i="6"/>
  <c r="AE48" i="4"/>
  <c r="AO45" i="4"/>
  <c r="AN34" i="4"/>
  <c r="C16" i="8" s="1"/>
  <c r="D14" i="6"/>
  <c r="D48" i="4"/>
  <c r="N48" i="4"/>
  <c r="N14" i="6"/>
  <c r="X48" i="4"/>
  <c r="X14" i="6"/>
  <c r="AH48" i="4"/>
  <c r="AH14" i="6"/>
  <c r="H12" i="6"/>
  <c r="G14" i="6"/>
  <c r="G48" i="4"/>
  <c r="Q14" i="6"/>
  <c r="AO34" i="4"/>
  <c r="D16" i="8" s="1"/>
  <c r="F46" i="4"/>
  <c r="AP47" i="4"/>
  <c r="AH13" i="6"/>
  <c r="AP35" i="4"/>
  <c r="AN35" i="4"/>
  <c r="E13" i="6"/>
  <c r="AN13" i="6" s="1"/>
  <c r="L48" i="4"/>
  <c r="L14" i="6"/>
  <c r="V48" i="4"/>
  <c r="V14" i="6"/>
  <c r="AF48" i="4"/>
  <c r="AF14" i="6"/>
  <c r="AO13" i="6"/>
  <c r="AP39" i="4"/>
  <c r="M14" i="6"/>
  <c r="W14" i="6"/>
  <c r="AG14" i="6"/>
  <c r="AG48" i="4"/>
  <c r="AO38" i="4"/>
  <c r="AK14" i="6"/>
  <c r="AK48" i="4"/>
  <c r="AO37" i="4"/>
  <c r="I47" i="4"/>
  <c r="I12" i="5" s="1"/>
  <c r="I15" i="5" s="1"/>
  <c r="I16" i="5" s="1"/>
  <c r="S47" i="4"/>
  <c r="S12" i="5" s="1"/>
  <c r="AC47" i="4"/>
  <c r="AC12" i="5" s="1"/>
  <c r="AP12" i="5" s="1"/>
  <c r="AM47" i="4"/>
  <c r="AM12" i="5" s="1"/>
  <c r="AP41" i="4"/>
  <c r="AN43" i="4"/>
  <c r="AO43" i="4"/>
  <c r="Q47" i="4"/>
  <c r="Q12" i="5" s="1"/>
  <c r="Q15" i="5" s="1"/>
  <c r="Q16" i="5" s="1"/>
  <c r="AP45" i="4"/>
  <c r="AN40" i="4"/>
  <c r="O46" i="4"/>
  <c r="O48" i="4" s="1"/>
  <c r="Y46" i="4"/>
  <c r="AI46" i="4"/>
  <c r="D46" i="4"/>
  <c r="I14" i="6"/>
  <c r="I48" i="4"/>
  <c r="S14" i="6"/>
  <c r="AN36" i="4"/>
  <c r="P46" i="4"/>
  <c r="Z46" i="4"/>
  <c r="AJ46" i="4"/>
  <c r="AP14" i="6"/>
  <c r="AA46" i="4"/>
  <c r="AN42" i="4"/>
  <c r="AP36" i="4"/>
  <c r="AC46" i="4"/>
  <c r="AM46" i="4"/>
  <c r="AO42" i="4"/>
  <c r="AO35" i="4"/>
  <c r="Q13" i="6"/>
  <c r="AO44" i="4"/>
  <c r="E46" i="4"/>
  <c r="Y48" i="4"/>
  <c r="Y14" i="6"/>
  <c r="AI48" i="4"/>
  <c r="AP13" i="6"/>
  <c r="AO41" i="4"/>
  <c r="C4" i="9"/>
  <c r="B5" i="9"/>
  <c r="AN37" i="4"/>
  <c r="H47" i="4"/>
  <c r="H12" i="5" s="1"/>
  <c r="H15" i="5" s="1"/>
  <c r="H16" i="5" s="1"/>
  <c r="AP38" i="4"/>
  <c r="AL47" i="4"/>
  <c r="AL12" i="5" s="1"/>
  <c r="M46" i="4"/>
  <c r="W46" i="4"/>
  <c r="AP44" i="4"/>
  <c r="P47" i="4"/>
  <c r="H4" i="9"/>
  <c r="AP21" i="6"/>
  <c r="AN25" i="6"/>
  <c r="R46" i="4"/>
  <c r="AB46" i="4"/>
  <c r="AP40" i="4"/>
  <c r="AL46" i="4"/>
  <c r="AL48" i="4" s="1"/>
  <c r="AN45" i="4"/>
  <c r="H9" i="9"/>
  <c r="G10" i="9"/>
  <c r="AN38" i="4"/>
  <c r="J46" i="4"/>
  <c r="J48" i="4" s="1"/>
  <c r="T46" i="4"/>
  <c r="AD46" i="4"/>
  <c r="T48" i="4"/>
  <c r="AD48" i="4"/>
  <c r="AO40" i="4"/>
  <c r="AN12" i="5" l="1"/>
  <c r="M12" i="6"/>
  <c r="M11" i="5"/>
  <c r="M15" i="5" s="1"/>
  <c r="M16" i="5" s="1"/>
  <c r="AN14" i="6"/>
  <c r="AM12" i="6"/>
  <c r="AM48" i="4"/>
  <c r="AM11" i="5"/>
  <c r="AM15" i="5" s="1"/>
  <c r="M48" i="4"/>
  <c r="AP46" i="4"/>
  <c r="AB12" i="6"/>
  <c r="AB48" i="4"/>
  <c r="AB11" i="5"/>
  <c r="AC12" i="6"/>
  <c r="AC48" i="4"/>
  <c r="AC11" i="5"/>
  <c r="AC15" i="5" s="1"/>
  <c r="AC16" i="5" s="1"/>
  <c r="S48" i="4"/>
  <c r="H48" i="4"/>
  <c r="E30" i="4"/>
  <c r="F30" i="3"/>
  <c r="E38" i="3"/>
  <c r="E24" i="3"/>
  <c r="E25" i="3"/>
  <c r="AL12" i="6"/>
  <c r="AL11" i="5"/>
  <c r="AL15" i="5" s="1"/>
  <c r="AL16" i="5" s="1"/>
  <c r="AD12" i="6"/>
  <c r="AD11" i="5"/>
  <c r="AD15" i="5" s="1"/>
  <c r="AD16" i="5" s="1"/>
  <c r="R12" i="6"/>
  <c r="R48" i="4"/>
  <c r="R11" i="5"/>
  <c r="R15" i="5" s="1"/>
  <c r="R16" i="5" s="1"/>
  <c r="E12" i="6"/>
  <c r="E11" i="5"/>
  <c r="E15" i="5" s="1"/>
  <c r="E16" i="5" s="1"/>
  <c r="T12" i="6"/>
  <c r="T11" i="5"/>
  <c r="T15" i="5" s="1"/>
  <c r="T16" i="5" s="1"/>
  <c r="S15" i="5"/>
  <c r="S16" i="5" s="1"/>
  <c r="D39" i="3"/>
  <c r="J12" i="6"/>
  <c r="J11" i="5"/>
  <c r="J15" i="5" s="1"/>
  <c r="J16" i="5" s="1"/>
  <c r="E48" i="4"/>
  <c r="AN48" i="4" s="1"/>
  <c r="Q12" i="6"/>
  <c r="S12" i="6"/>
  <c r="C5" i="9"/>
  <c r="D4" i="9"/>
  <c r="D5" i="9" s="1"/>
  <c r="AN46" i="4"/>
  <c r="D11" i="5"/>
  <c r="W12" i="6"/>
  <c r="W11" i="5"/>
  <c r="W15" i="5" s="1"/>
  <c r="W16" i="5" s="1"/>
  <c r="I12" i="6"/>
  <c r="AA12" i="6"/>
  <c r="AA11" i="5"/>
  <c r="AA15" i="5" s="1"/>
  <c r="F12" i="6"/>
  <c r="F48" i="4"/>
  <c r="F11" i="5"/>
  <c r="F15" i="5" s="1"/>
  <c r="F16" i="5" s="1"/>
  <c r="I4" i="9"/>
  <c r="H10" i="9"/>
  <c r="I9" i="9"/>
  <c r="I10" i="9" s="1"/>
  <c r="AO47" i="4"/>
  <c r="P12" i="5"/>
  <c r="AO12" i="5" s="1"/>
  <c r="AN47" i="4"/>
  <c r="AJ12" i="6"/>
  <c r="AJ48" i="4"/>
  <c r="AJ11" i="5"/>
  <c r="AJ15" i="5" s="1"/>
  <c r="AJ16" i="5" s="1"/>
  <c r="AI12" i="6"/>
  <c r="AI11" i="5"/>
  <c r="AI15" i="5" s="1"/>
  <c r="AI16" i="5" s="1"/>
  <c r="Q48" i="4"/>
  <c r="P12" i="6"/>
  <c r="AO46" i="4"/>
  <c r="P48" i="4"/>
  <c r="P11" i="5"/>
  <c r="O12" i="6"/>
  <c r="O11" i="5"/>
  <c r="O15" i="5" s="1"/>
  <c r="O16" i="5" s="1"/>
  <c r="AA48" i="4"/>
  <c r="Z12" i="6"/>
  <c r="Z48" i="4"/>
  <c r="Z11" i="5"/>
  <c r="Z15" i="5" s="1"/>
  <c r="Z16" i="5" s="1"/>
  <c r="Y12" i="6"/>
  <c r="Y11" i="5"/>
  <c r="Y15" i="5" s="1"/>
  <c r="Y16" i="5" s="1"/>
  <c r="W48" i="4"/>
  <c r="AO14" i="6"/>
  <c r="AM16" i="5" l="1"/>
  <c r="AA16" i="5"/>
  <c r="AN12" i="6"/>
  <c r="D15" i="5"/>
  <c r="AN11" i="5"/>
  <c r="D31" i="4"/>
  <c r="D41" i="3"/>
  <c r="D4" i="5"/>
  <c r="D40" i="3"/>
  <c r="E26" i="3"/>
  <c r="E27" i="3" s="1"/>
  <c r="AB15" i="5"/>
  <c r="AP11" i="5"/>
  <c r="P15" i="5"/>
  <c r="AO11" i="5"/>
  <c r="AP48" i="4"/>
  <c r="E15" i="8"/>
  <c r="AP12" i="6"/>
  <c r="D15" i="8"/>
  <c r="AO48" i="4"/>
  <c r="F31" i="3"/>
  <c r="F32" i="3" s="1"/>
  <c r="C15" i="8"/>
  <c r="AO12" i="6"/>
  <c r="F30" i="4" l="1"/>
  <c r="F38" i="3"/>
  <c r="G30" i="3"/>
  <c r="AB16" i="5"/>
  <c r="AP16" i="5" s="1"/>
  <c r="AP15" i="5"/>
  <c r="AO15" i="5"/>
  <c r="P16" i="5"/>
  <c r="AO16" i="5" s="1"/>
  <c r="AN15" i="5"/>
  <c r="D16" i="5"/>
  <c r="AN16" i="5" s="1"/>
  <c r="D6" i="5"/>
  <c r="E36" i="3"/>
  <c r="E37" i="3"/>
  <c r="F23" i="3"/>
  <c r="E35" i="3"/>
  <c r="E34" i="3"/>
  <c r="E28" i="3"/>
  <c r="D5" i="5"/>
  <c r="F15" i="8"/>
  <c r="D32" i="4"/>
  <c r="E39" i="3" l="1"/>
  <c r="D15" i="6"/>
  <c r="D8" i="5"/>
  <c r="G31" i="3"/>
  <c r="G32" i="3" s="1"/>
  <c r="F25" i="3"/>
  <c r="F24" i="3"/>
  <c r="D9" i="5"/>
  <c r="G38" i="3" l="1"/>
  <c r="G30" i="4"/>
  <c r="H30" i="3"/>
  <c r="D11" i="6"/>
  <c r="D17" i="5"/>
  <c r="F26" i="3"/>
  <c r="F27" i="3" s="1"/>
  <c r="D10" i="5"/>
  <c r="E40" i="3"/>
  <c r="E41" i="3" s="1"/>
  <c r="E31" i="4"/>
  <c r="E4" i="5"/>
  <c r="E6" i="5" l="1"/>
  <c r="E42" i="3"/>
  <c r="H31" i="3"/>
  <c r="H32" i="3" s="1"/>
  <c r="F37" i="3"/>
  <c r="F36" i="3"/>
  <c r="F34" i="3"/>
  <c r="G23" i="3"/>
  <c r="F35" i="3"/>
  <c r="F28" i="3"/>
  <c r="D19" i="5"/>
  <c r="D21" i="5" s="1"/>
  <c r="D18" i="5"/>
  <c r="D17" i="6"/>
  <c r="E32" i="4"/>
  <c r="E5" i="5"/>
  <c r="D10" i="6" l="1"/>
  <c r="D22" i="5"/>
  <c r="H38" i="3"/>
  <c r="H30" i="4"/>
  <c r="I30" i="3"/>
  <c r="F39" i="3"/>
  <c r="E7" i="5"/>
  <c r="E15" i="6"/>
  <c r="E8" i="5"/>
  <c r="E9" i="5" s="1"/>
  <c r="E10" i="5" s="1"/>
  <c r="G25" i="3"/>
  <c r="G24" i="3"/>
  <c r="F40" i="3" l="1"/>
  <c r="F31" i="4"/>
  <c r="F4" i="5"/>
  <c r="G26" i="3"/>
  <c r="G27" i="3" s="1"/>
  <c r="I31" i="3"/>
  <c r="I32" i="3" s="1"/>
  <c r="E11" i="6"/>
  <c r="E17" i="5"/>
  <c r="D18" i="6"/>
  <c r="I38" i="3" l="1"/>
  <c r="I30" i="4"/>
  <c r="J30" i="3"/>
  <c r="D27" i="6"/>
  <c r="H23" i="3"/>
  <c r="G34" i="3"/>
  <c r="G35" i="3"/>
  <c r="G36" i="3"/>
  <c r="G37" i="3"/>
  <c r="G28" i="3"/>
  <c r="E19" i="5"/>
  <c r="E21" i="5" s="1"/>
  <c r="E18" i="5"/>
  <c r="E17" i="6"/>
  <c r="F32" i="4"/>
  <c r="F5" i="5"/>
  <c r="F41" i="3"/>
  <c r="E10" i="6" l="1"/>
  <c r="E22" i="5"/>
  <c r="G39" i="3"/>
  <c r="H25" i="3"/>
  <c r="H24" i="3"/>
  <c r="F6" i="5"/>
  <c r="F42" i="3"/>
  <c r="D29" i="6"/>
  <c r="J31" i="3"/>
  <c r="J32" i="3" s="1"/>
  <c r="F15" i="6"/>
  <c r="F8" i="5"/>
  <c r="J30" i="4" l="1"/>
  <c r="K30" i="3"/>
  <c r="J38" i="3"/>
  <c r="G31" i="4"/>
  <c r="G40" i="3"/>
  <c r="G41" i="3" s="1"/>
  <c r="G4" i="5"/>
  <c r="F9" i="5"/>
  <c r="F7" i="5"/>
  <c r="H26" i="3"/>
  <c r="H27" i="3" s="1"/>
  <c r="E28" i="6"/>
  <c r="E18" i="6"/>
  <c r="F11" i="6" l="1"/>
  <c r="F17" i="5"/>
  <c r="G6" i="5"/>
  <c r="G42" i="3"/>
  <c r="H36" i="3"/>
  <c r="H34" i="3"/>
  <c r="I23" i="3"/>
  <c r="H37" i="3"/>
  <c r="H35" i="3"/>
  <c r="H28" i="3"/>
  <c r="G5" i="5"/>
  <c r="G32" i="4"/>
  <c r="E27" i="6"/>
  <c r="E29" i="6" s="1"/>
  <c r="F10" i="5"/>
  <c r="K31" i="3"/>
  <c r="K32" i="3" s="1"/>
  <c r="L30" i="3" l="1"/>
  <c r="K38" i="3"/>
  <c r="K30" i="4"/>
  <c r="G15" i="6"/>
  <c r="G8" i="5"/>
  <c r="G9" i="5" s="1"/>
  <c r="G10" i="5" s="1"/>
  <c r="I25" i="3"/>
  <c r="I24" i="3"/>
  <c r="H39" i="3"/>
  <c r="F19" i="5"/>
  <c r="F21" i="5" s="1"/>
  <c r="F18" i="5"/>
  <c r="G7" i="5"/>
  <c r="F28" i="6"/>
  <c r="F17" i="6"/>
  <c r="I26" i="3" l="1"/>
  <c r="I27" i="3" s="1"/>
  <c r="G11" i="6"/>
  <c r="G17" i="5"/>
  <c r="F10" i="6"/>
  <c r="F22" i="5"/>
  <c r="H31" i="4"/>
  <c r="H40" i="3"/>
  <c r="H4" i="5"/>
  <c r="L31" i="3"/>
  <c r="L32" i="3" s="1"/>
  <c r="L30" i="4" l="1"/>
  <c r="L38" i="3"/>
  <c r="M30" i="3"/>
  <c r="F18" i="6"/>
  <c r="H5" i="5"/>
  <c r="G19" i="5"/>
  <c r="G21" i="5" s="1"/>
  <c r="G18" i="5"/>
  <c r="H41" i="3"/>
  <c r="G17" i="6"/>
  <c r="H32" i="4"/>
  <c r="J23" i="3"/>
  <c r="I35" i="3"/>
  <c r="I37" i="3"/>
  <c r="I36" i="3"/>
  <c r="I34" i="3"/>
  <c r="I28" i="3"/>
  <c r="G10" i="6" l="1"/>
  <c r="G22" i="5"/>
  <c r="J24" i="3"/>
  <c r="J25" i="3"/>
  <c r="F27" i="6"/>
  <c r="H15" i="6"/>
  <c r="H8" i="5"/>
  <c r="I39" i="3"/>
  <c r="H6" i="5"/>
  <c r="H42" i="3"/>
  <c r="M31" i="3"/>
  <c r="M32" i="3" s="1"/>
  <c r="J26" i="3" l="1"/>
  <c r="J27" i="3" s="1"/>
  <c r="J36" i="3" s="1"/>
  <c r="J35" i="3"/>
  <c r="J37" i="3"/>
  <c r="J34" i="3"/>
  <c r="K23" i="3"/>
  <c r="J28" i="3"/>
  <c r="M30" i="4"/>
  <c r="M38" i="3"/>
  <c r="N30" i="3"/>
  <c r="F29" i="6"/>
  <c r="I31" i="4"/>
  <c r="I32" i="4" s="1"/>
  <c r="I40" i="3"/>
  <c r="I5" i="5" s="1"/>
  <c r="I41" i="3"/>
  <c r="I4" i="5"/>
  <c r="H9" i="5"/>
  <c r="H7" i="5"/>
  <c r="G18" i="6"/>
  <c r="J39" i="3" l="1"/>
  <c r="N31" i="3"/>
  <c r="N32" i="3" s="1"/>
  <c r="H11" i="6"/>
  <c r="H17" i="5"/>
  <c r="H10" i="5"/>
  <c r="K24" i="3"/>
  <c r="K25" i="3"/>
  <c r="I6" i="5"/>
  <c r="I42" i="3"/>
  <c r="J31" i="4"/>
  <c r="J32" i="4" s="1"/>
  <c r="J4" i="5"/>
  <c r="J40" i="3"/>
  <c r="J5" i="5" s="1"/>
  <c r="G27" i="6"/>
  <c r="I15" i="6"/>
  <c r="I8" i="5"/>
  <c r="G28" i="6"/>
  <c r="K26" i="3" l="1"/>
  <c r="K27" i="3" s="1"/>
  <c r="K37" i="3"/>
  <c r="K35" i="3"/>
  <c r="K34" i="3"/>
  <c r="L23" i="3"/>
  <c r="K36" i="3"/>
  <c r="K28" i="3"/>
  <c r="O30" i="3"/>
  <c r="N30" i="4"/>
  <c r="N38" i="3"/>
  <c r="G29" i="6"/>
  <c r="I9" i="5"/>
  <c r="I10" i="5" s="1"/>
  <c r="I7" i="5"/>
  <c r="H17" i="6"/>
  <c r="J41" i="3"/>
  <c r="H19" i="5"/>
  <c r="H21" i="5" s="1"/>
  <c r="H18" i="5"/>
  <c r="J15" i="6"/>
  <c r="J8" i="5"/>
  <c r="O31" i="3" l="1"/>
  <c r="O32" i="3" s="1"/>
  <c r="I11" i="6"/>
  <c r="I17" i="6" s="1"/>
  <c r="I17" i="5"/>
  <c r="H10" i="6"/>
  <c r="H22" i="5"/>
  <c r="L24" i="3"/>
  <c r="L25" i="3"/>
  <c r="H28" i="6"/>
  <c r="K39" i="3"/>
  <c r="J6" i="5"/>
  <c r="J42" i="3"/>
  <c r="L26" i="3" l="1"/>
  <c r="L27" i="3" s="1"/>
  <c r="K31" i="4"/>
  <c r="K32" i="4" s="1"/>
  <c r="K40" i="3"/>
  <c r="K5" i="5" s="1"/>
  <c r="K41" i="3"/>
  <c r="K4" i="5"/>
  <c r="L36" i="3"/>
  <c r="L37" i="3"/>
  <c r="L35" i="3"/>
  <c r="L34" i="3"/>
  <c r="M23" i="3"/>
  <c r="L28" i="3"/>
  <c r="C9" i="8"/>
  <c r="O30" i="4"/>
  <c r="P30" i="3"/>
  <c r="O38" i="3"/>
  <c r="AN38" i="3" s="1"/>
  <c r="AN32" i="3"/>
  <c r="J9" i="5"/>
  <c r="J10" i="5" s="1"/>
  <c r="J7" i="5"/>
  <c r="H18" i="6"/>
  <c r="I19" i="5"/>
  <c r="I21" i="5" s="1"/>
  <c r="I18" i="5"/>
  <c r="L39" i="3" l="1"/>
  <c r="I10" i="6"/>
  <c r="I18" i="6" s="1"/>
  <c r="I27" i="6" s="1"/>
  <c r="I22" i="5"/>
  <c r="M24" i="3"/>
  <c r="M25" i="3"/>
  <c r="L31" i="4"/>
  <c r="L32" i="4" s="1"/>
  <c r="L40" i="3"/>
  <c r="L5" i="5" s="1"/>
  <c r="L4" i="5"/>
  <c r="AN30" i="4"/>
  <c r="J11" i="6"/>
  <c r="J17" i="6" s="1"/>
  <c r="J17" i="5"/>
  <c r="P31" i="3"/>
  <c r="P32" i="3" s="1"/>
  <c r="H27" i="6"/>
  <c r="H29" i="6" s="1"/>
  <c r="K6" i="5"/>
  <c r="K42" i="3"/>
  <c r="K15" i="6"/>
  <c r="K8" i="5"/>
  <c r="Q30" i="3" l="1"/>
  <c r="P30" i="4"/>
  <c r="P38" i="3"/>
  <c r="L15" i="6"/>
  <c r="L8" i="5"/>
  <c r="J19" i="5"/>
  <c r="J21" i="5" s="1"/>
  <c r="J18" i="5"/>
  <c r="K9" i="5"/>
  <c r="K7" i="5"/>
  <c r="I28" i="6"/>
  <c r="I29" i="6" s="1"/>
  <c r="J28" i="6" s="1"/>
  <c r="L41" i="3"/>
  <c r="M26" i="3"/>
  <c r="M27" i="3" s="1"/>
  <c r="J10" i="6" l="1"/>
  <c r="J18" i="6" s="1"/>
  <c r="J27" i="6" s="1"/>
  <c r="J22" i="5"/>
  <c r="M34" i="3"/>
  <c r="M37" i="3"/>
  <c r="M35" i="3"/>
  <c r="N23" i="3"/>
  <c r="M36" i="3"/>
  <c r="M28" i="3"/>
  <c r="L6" i="5"/>
  <c r="L42" i="3"/>
  <c r="J29" i="6"/>
  <c r="K28" i="6" s="1"/>
  <c r="K11" i="6"/>
  <c r="K17" i="6" s="1"/>
  <c r="K17" i="5"/>
  <c r="K10" i="5"/>
  <c r="Q31" i="3"/>
  <c r="Q32" i="3" s="1"/>
  <c r="Q30" i="4" l="1"/>
  <c r="Q38" i="3"/>
  <c r="R30" i="3"/>
  <c r="N24" i="3"/>
  <c r="N25" i="3"/>
  <c r="K19" i="5"/>
  <c r="K21" i="5" s="1"/>
  <c r="K18" i="5"/>
  <c r="M39" i="3"/>
  <c r="L9" i="5"/>
  <c r="L7" i="5"/>
  <c r="K10" i="6" l="1"/>
  <c r="K18" i="6" s="1"/>
  <c r="K27" i="6" s="1"/>
  <c r="K29" i="6" s="1"/>
  <c r="L28" i="6" s="1"/>
  <c r="K22" i="5"/>
  <c r="N26" i="3"/>
  <c r="N27" i="3" s="1"/>
  <c r="R31" i="3"/>
  <c r="R32" i="3" s="1"/>
  <c r="L11" i="6"/>
  <c r="L17" i="6" s="1"/>
  <c r="L17" i="5"/>
  <c r="L10" i="5"/>
  <c r="M31" i="4"/>
  <c r="M32" i="4" s="1"/>
  <c r="M40" i="3"/>
  <c r="M5" i="5" s="1"/>
  <c r="M4" i="5"/>
  <c r="M15" i="6" l="1"/>
  <c r="M8" i="5"/>
  <c r="L19" i="5"/>
  <c r="L21" i="5" s="1"/>
  <c r="L18" i="5"/>
  <c r="R30" i="4"/>
  <c r="S30" i="3"/>
  <c r="R38" i="3"/>
  <c r="N35" i="3"/>
  <c r="N34" i="3"/>
  <c r="O23" i="3"/>
  <c r="N37" i="3"/>
  <c r="N36" i="3"/>
  <c r="N28" i="3"/>
  <c r="M41" i="3"/>
  <c r="L10" i="6" l="1"/>
  <c r="L18" i="6" s="1"/>
  <c r="L27" i="6" s="1"/>
  <c r="L29" i="6" s="1"/>
  <c r="M28" i="6" s="1"/>
  <c r="L22" i="5"/>
  <c r="M6" i="5"/>
  <c r="M42" i="3"/>
  <c r="S31" i="3"/>
  <c r="S32" i="3" s="1"/>
  <c r="O24" i="3"/>
  <c r="O25" i="3"/>
  <c r="N39" i="3"/>
  <c r="S38" i="3" l="1"/>
  <c r="S30" i="4"/>
  <c r="T30" i="3"/>
  <c r="M9" i="5"/>
  <c r="M10" i="5" s="1"/>
  <c r="M7" i="5"/>
  <c r="N31" i="4"/>
  <c r="N32" i="4" s="1"/>
  <c r="N40" i="3"/>
  <c r="N5" i="5" s="1"/>
  <c r="N4" i="5"/>
  <c r="O26" i="3"/>
  <c r="O27" i="3" s="1"/>
  <c r="C38" i="2"/>
  <c r="N41" i="3" l="1"/>
  <c r="N6" i="5"/>
  <c r="N42" i="3"/>
  <c r="N15" i="6"/>
  <c r="N8" i="5"/>
  <c r="M11" i="6"/>
  <c r="M17" i="6" s="1"/>
  <c r="M17" i="5"/>
  <c r="C8" i="8"/>
  <c r="O36" i="3"/>
  <c r="AN36" i="3" s="1"/>
  <c r="O35" i="3"/>
  <c r="AN35" i="3" s="1"/>
  <c r="O37" i="3"/>
  <c r="AN37" i="3" s="1"/>
  <c r="O34" i="3"/>
  <c r="P23" i="3"/>
  <c r="AN27" i="3"/>
  <c r="O28" i="3"/>
  <c r="T31" i="3"/>
  <c r="T32" i="3" s="1"/>
  <c r="P25" i="3" l="1"/>
  <c r="P24" i="3"/>
  <c r="T30" i="4"/>
  <c r="U30" i="3"/>
  <c r="T38" i="3"/>
  <c r="N9" i="5"/>
  <c r="N10" i="5" s="1"/>
  <c r="N7" i="5"/>
  <c r="M19" i="5"/>
  <c r="M21" i="5" s="1"/>
  <c r="M18" i="5"/>
  <c r="O39" i="3"/>
  <c r="AN34" i="3"/>
  <c r="M10" i="6" l="1"/>
  <c r="M18" i="6" s="1"/>
  <c r="M27" i="6" s="1"/>
  <c r="M29" i="6" s="1"/>
  <c r="N28" i="6" s="1"/>
  <c r="M22" i="5"/>
  <c r="N11" i="6"/>
  <c r="N17" i="6" s="1"/>
  <c r="N17" i="5"/>
  <c r="O31" i="4"/>
  <c r="O40" i="3"/>
  <c r="O41" i="3" s="1"/>
  <c r="C35" i="2"/>
  <c r="O4" i="5"/>
  <c r="C34" i="2"/>
  <c r="AN39" i="3"/>
  <c r="C5" i="8" s="1"/>
  <c r="U31" i="3"/>
  <c r="U32" i="3" s="1"/>
  <c r="P26" i="3"/>
  <c r="P27" i="3" s="1"/>
  <c r="V30" i="3" l="1"/>
  <c r="U38" i="3"/>
  <c r="U30" i="4"/>
  <c r="O6" i="5"/>
  <c r="AN41" i="3"/>
  <c r="O42" i="3"/>
  <c r="P37" i="3"/>
  <c r="P36" i="3"/>
  <c r="P35" i="3"/>
  <c r="P34" i="3"/>
  <c r="Q23" i="3"/>
  <c r="P28" i="3"/>
  <c r="O5" i="5"/>
  <c r="AN5" i="5" s="1"/>
  <c r="AN40" i="3"/>
  <c r="AN31" i="4"/>
  <c r="AN32" i="4" s="1"/>
  <c r="O32" i="4"/>
  <c r="N19" i="5"/>
  <c r="N21" i="5" s="1"/>
  <c r="N18" i="5"/>
  <c r="AN4" i="5"/>
  <c r="N10" i="6" l="1"/>
  <c r="N18" i="6" s="1"/>
  <c r="N27" i="6" s="1"/>
  <c r="N29" i="6" s="1"/>
  <c r="O28" i="6" s="1"/>
  <c r="N22" i="5"/>
  <c r="AN6" i="5"/>
  <c r="C6" i="8" s="1"/>
  <c r="O7" i="5"/>
  <c r="O15" i="6"/>
  <c r="AN15" i="6" s="1"/>
  <c r="O8" i="5"/>
  <c r="AN8" i="5" s="1"/>
  <c r="C6" i="2" s="1"/>
  <c r="C14" i="8"/>
  <c r="Q25" i="3"/>
  <c r="Q24" i="3"/>
  <c r="P39" i="3"/>
  <c r="V31" i="3"/>
  <c r="V32" i="3" s="1"/>
  <c r="O9" i="5" l="1"/>
  <c r="V38" i="3"/>
  <c r="V30" i="4"/>
  <c r="W30" i="3"/>
  <c r="P31" i="4"/>
  <c r="P40" i="3"/>
  <c r="P4" i="5"/>
  <c r="Q26" i="3"/>
  <c r="Q27" i="3" s="1"/>
  <c r="O11" i="6"/>
  <c r="O17" i="5"/>
  <c r="AN9" i="5"/>
  <c r="O10" i="5"/>
  <c r="P5" i="5" l="1"/>
  <c r="P41" i="3"/>
  <c r="P32" i="4"/>
  <c r="C36" i="2"/>
  <c r="C39" i="2"/>
  <c r="C40" i="2" s="1"/>
  <c r="C41" i="2"/>
  <c r="Q36" i="3"/>
  <c r="Q34" i="3"/>
  <c r="R23" i="3"/>
  <c r="Q35" i="3"/>
  <c r="Q37" i="3"/>
  <c r="Q28" i="3"/>
  <c r="O19" i="5"/>
  <c r="AN19" i="5" s="1"/>
  <c r="AN17" i="5"/>
  <c r="O18" i="5"/>
  <c r="W31" i="3"/>
  <c r="W32" i="3" s="1"/>
  <c r="O17" i="6"/>
  <c r="AN17" i="6" s="1"/>
  <c r="AN11" i="6"/>
  <c r="W30" i="4" l="1"/>
  <c r="W38" i="3"/>
  <c r="X30" i="3"/>
  <c r="C11" i="8"/>
  <c r="D13" i="2"/>
  <c r="E13" i="2" s="1"/>
  <c r="C7" i="2"/>
  <c r="C37" i="2"/>
  <c r="D12" i="2"/>
  <c r="E12" i="2" s="1"/>
  <c r="R24" i="3"/>
  <c r="R25" i="3"/>
  <c r="O21" i="5"/>
  <c r="P15" i="6"/>
  <c r="P8" i="5"/>
  <c r="P6" i="5"/>
  <c r="P42" i="3"/>
  <c r="Q39" i="3"/>
  <c r="P9" i="5" l="1"/>
  <c r="P10" i="5"/>
  <c r="P7" i="5"/>
  <c r="O10" i="6"/>
  <c r="AN21" i="5"/>
  <c r="O22" i="5"/>
  <c r="X31" i="3"/>
  <c r="X32" i="3" s="1"/>
  <c r="Q40" i="3"/>
  <c r="Q41" i="3" s="1"/>
  <c r="Q31" i="4"/>
  <c r="Q4" i="5"/>
  <c r="R26" i="3"/>
  <c r="R27" i="3" s="1"/>
  <c r="R34" i="3" l="1"/>
  <c r="S23" i="3"/>
  <c r="R35" i="3"/>
  <c r="R37" i="3"/>
  <c r="R36" i="3"/>
  <c r="R28" i="3"/>
  <c r="O18" i="6"/>
  <c r="AN10" i="6"/>
  <c r="Q6" i="5"/>
  <c r="Q42" i="3"/>
  <c r="Q32" i="4"/>
  <c r="Q5" i="5"/>
  <c r="X30" i="4"/>
  <c r="Y30" i="3"/>
  <c r="X38" i="3"/>
  <c r="C12" i="8"/>
  <c r="G6" i="9"/>
  <c r="G7" i="9" s="1"/>
  <c r="G11" i="9" s="1"/>
  <c r="H5" i="9"/>
  <c r="P11" i="6"/>
  <c r="P17" i="5"/>
  <c r="P19" i="5" l="1"/>
  <c r="P21" i="5"/>
  <c r="P18" i="5"/>
  <c r="O27" i="6"/>
  <c r="AN18" i="6"/>
  <c r="P17" i="6"/>
  <c r="Q15" i="6"/>
  <c r="Q8" i="5"/>
  <c r="Q9" i="5"/>
  <c r="Q10" i="5"/>
  <c r="Q7" i="5"/>
  <c r="S25" i="3"/>
  <c r="S24" i="3"/>
  <c r="R39" i="3"/>
  <c r="Y31" i="3"/>
  <c r="Y32" i="3" s="1"/>
  <c r="Q11" i="6" l="1"/>
  <c r="Q17" i="5"/>
  <c r="Z30" i="3"/>
  <c r="Y30" i="4"/>
  <c r="Y38" i="3"/>
  <c r="R31" i="4"/>
  <c r="R40" i="3"/>
  <c r="R4" i="5"/>
  <c r="AN27" i="6"/>
  <c r="C8" i="2" s="1"/>
  <c r="O29" i="6"/>
  <c r="S26" i="3"/>
  <c r="S27" i="3" s="1"/>
  <c r="P10" i="6"/>
  <c r="P22" i="5"/>
  <c r="R5" i="5" l="1"/>
  <c r="R41" i="3"/>
  <c r="P18" i="6"/>
  <c r="R32" i="4"/>
  <c r="S36" i="3"/>
  <c r="S34" i="3"/>
  <c r="T23" i="3"/>
  <c r="S37" i="3"/>
  <c r="S35" i="3"/>
  <c r="S28" i="3"/>
  <c r="C18" i="8"/>
  <c r="B7" i="9"/>
  <c r="B8" i="9" s="1"/>
  <c r="B9" i="9" s="1"/>
  <c r="B11" i="9" s="1"/>
  <c r="P28" i="6"/>
  <c r="AN29" i="6"/>
  <c r="C14" i="2"/>
  <c r="Z31" i="3"/>
  <c r="Z32" i="3" s="1"/>
  <c r="Q19" i="5"/>
  <c r="Q18" i="5"/>
  <c r="Q17" i="6"/>
  <c r="Z30" i="4" l="1"/>
  <c r="Z38" i="3"/>
  <c r="AA30" i="3"/>
  <c r="S39" i="3"/>
  <c r="R15" i="6"/>
  <c r="R8" i="5"/>
  <c r="R6" i="5"/>
  <c r="R42" i="3"/>
  <c r="P27" i="6"/>
  <c r="Q21" i="5"/>
  <c r="T25" i="3"/>
  <c r="T24" i="3"/>
  <c r="T26" i="3" l="1"/>
  <c r="T27" i="3" s="1"/>
  <c r="AA31" i="3"/>
  <c r="AA32" i="3" s="1"/>
  <c r="R9" i="5"/>
  <c r="R7" i="5"/>
  <c r="T35" i="3"/>
  <c r="T36" i="3"/>
  <c r="T37" i="3"/>
  <c r="T34" i="3"/>
  <c r="U23" i="3"/>
  <c r="T28" i="3"/>
  <c r="Q10" i="6"/>
  <c r="Q22" i="5"/>
  <c r="S40" i="3"/>
  <c r="S41" i="3" s="1"/>
  <c r="S31" i="4"/>
  <c r="S4" i="5"/>
  <c r="P29" i="6"/>
  <c r="Q28" i="6" s="1"/>
  <c r="S32" i="4" l="1"/>
  <c r="U24" i="3"/>
  <c r="U25" i="3"/>
  <c r="S6" i="5"/>
  <c r="S42" i="3"/>
  <c r="S5" i="5"/>
  <c r="AA38" i="3"/>
  <c r="AO38" i="3" s="1"/>
  <c r="D9" i="8"/>
  <c r="AB30" i="3"/>
  <c r="AA30" i="4"/>
  <c r="AO32" i="3"/>
  <c r="Q18" i="6"/>
  <c r="R11" i="6"/>
  <c r="R17" i="5"/>
  <c r="R10" i="5"/>
  <c r="T39" i="3"/>
  <c r="S7" i="5" l="1"/>
  <c r="AO30" i="4"/>
  <c r="AB31" i="3"/>
  <c r="AB32" i="3" s="1"/>
  <c r="T31" i="4"/>
  <c r="T40" i="3"/>
  <c r="T41" i="3" s="1"/>
  <c r="T4" i="5"/>
  <c r="U26" i="3"/>
  <c r="U27" i="3" s="1"/>
  <c r="S15" i="6"/>
  <c r="S8" i="5"/>
  <c r="S9" i="5" s="1"/>
  <c r="Q27" i="6"/>
  <c r="R17" i="6"/>
  <c r="R19" i="5"/>
  <c r="R21" i="5"/>
  <c r="R18" i="5"/>
  <c r="S11" i="6" l="1"/>
  <c r="S17" i="5"/>
  <c r="S10" i="5"/>
  <c r="AB30" i="4"/>
  <c r="AC30" i="3"/>
  <c r="AB38" i="3"/>
  <c r="U34" i="3"/>
  <c r="V23" i="3"/>
  <c r="U36" i="3"/>
  <c r="U37" i="3"/>
  <c r="U35" i="3"/>
  <c r="U28" i="3"/>
  <c r="Q29" i="6"/>
  <c r="R28" i="6" s="1"/>
  <c r="R10" i="6"/>
  <c r="R22" i="5"/>
  <c r="T5" i="5"/>
  <c r="T6" i="5"/>
  <c r="T42" i="3"/>
  <c r="T32" i="4"/>
  <c r="U39" i="3" l="1"/>
  <c r="U40" i="3" s="1"/>
  <c r="U31" i="4"/>
  <c r="U32" i="4" s="1"/>
  <c r="U4" i="5"/>
  <c r="V24" i="3"/>
  <c r="V25" i="3"/>
  <c r="R18" i="6"/>
  <c r="T7" i="5"/>
  <c r="AC31" i="3"/>
  <c r="AC32" i="3" s="1"/>
  <c r="S19" i="5"/>
  <c r="S21" i="5" s="1"/>
  <c r="S18" i="5"/>
  <c r="T15" i="6"/>
  <c r="T8" i="5"/>
  <c r="T9" i="5" s="1"/>
  <c r="S17" i="6"/>
  <c r="U5" i="5" l="1"/>
  <c r="U41" i="3"/>
  <c r="V26" i="3"/>
  <c r="V27" i="3" s="1"/>
  <c r="V37" i="3" s="1"/>
  <c r="V34" i="3"/>
  <c r="W23" i="3"/>
  <c r="V36" i="3"/>
  <c r="V28" i="3"/>
  <c r="T11" i="6"/>
  <c r="T17" i="5"/>
  <c r="T10" i="5"/>
  <c r="S10" i="6"/>
  <c r="S22" i="5"/>
  <c r="AC38" i="3"/>
  <c r="AC30" i="4"/>
  <c r="AD30" i="3"/>
  <c r="R27" i="6"/>
  <c r="U6" i="5"/>
  <c r="U42" i="3"/>
  <c r="U15" i="6"/>
  <c r="U8" i="5"/>
  <c r="V35" i="3" l="1"/>
  <c r="T19" i="5"/>
  <c r="T21" i="5"/>
  <c r="T18" i="5"/>
  <c r="T17" i="6"/>
  <c r="V39" i="3"/>
  <c r="R29" i="6"/>
  <c r="S28" i="6" s="1"/>
  <c r="AD31" i="3"/>
  <c r="AD32" i="3" s="1"/>
  <c r="W24" i="3"/>
  <c r="W25" i="3"/>
  <c r="U9" i="5"/>
  <c r="U7" i="5"/>
  <c r="S18" i="6"/>
  <c r="U11" i="6" l="1"/>
  <c r="U17" i="6" s="1"/>
  <c r="U17" i="5"/>
  <c r="AD30" i="4"/>
  <c r="AD38" i="3"/>
  <c r="AE30" i="3"/>
  <c r="S29" i="6"/>
  <c r="T28" i="6" s="1"/>
  <c r="V31" i="4"/>
  <c r="V32" i="4" s="1"/>
  <c r="V40" i="3"/>
  <c r="V5" i="5" s="1"/>
  <c r="V4" i="5"/>
  <c r="W26" i="3"/>
  <c r="W27" i="3" s="1"/>
  <c r="S27" i="6"/>
  <c r="T10" i="6"/>
  <c r="T22" i="5"/>
  <c r="U10" i="5"/>
  <c r="V41" i="3" l="1"/>
  <c r="V15" i="6"/>
  <c r="V8" i="5"/>
  <c r="AE31" i="3"/>
  <c r="AE32" i="3" s="1"/>
  <c r="T18" i="6"/>
  <c r="U19" i="5"/>
  <c r="U21" i="5" s="1"/>
  <c r="U18" i="5"/>
  <c r="W34" i="3"/>
  <c r="W35" i="3"/>
  <c r="W36" i="3"/>
  <c r="W37" i="3"/>
  <c r="X23" i="3"/>
  <c r="W28" i="3"/>
  <c r="U10" i="6" l="1"/>
  <c r="U18" i="6" s="1"/>
  <c r="U27" i="6" s="1"/>
  <c r="U22" i="5"/>
  <c r="AF30" i="3"/>
  <c r="AE30" i="4"/>
  <c r="AE38" i="3"/>
  <c r="T27" i="6"/>
  <c r="T29" i="6" s="1"/>
  <c r="U28" i="6" s="1"/>
  <c r="U29" i="6" s="1"/>
  <c r="V28" i="6" s="1"/>
  <c r="W39" i="3"/>
  <c r="V6" i="5"/>
  <c r="V42" i="3"/>
  <c r="X24" i="3"/>
  <c r="X25" i="3"/>
  <c r="V9" i="5" l="1"/>
  <c r="V10" i="5" s="1"/>
  <c r="V7" i="5"/>
  <c r="W40" i="3"/>
  <c r="W5" i="5" s="1"/>
  <c r="W4" i="5"/>
  <c r="W31" i="4"/>
  <c r="W32" i="4" s="1"/>
  <c r="X26" i="3"/>
  <c r="X27" i="3" s="1"/>
  <c r="AF31" i="3"/>
  <c r="AF32" i="3" s="1"/>
  <c r="W41" i="3" l="1"/>
  <c r="AF30" i="4"/>
  <c r="AG30" i="3"/>
  <c r="AF38" i="3"/>
  <c r="W15" i="6"/>
  <c r="W8" i="5"/>
  <c r="W6" i="5"/>
  <c r="W42" i="3"/>
  <c r="X35" i="3"/>
  <c r="X37" i="3"/>
  <c r="X34" i="3"/>
  <c r="Y23" i="3"/>
  <c r="X36" i="3"/>
  <c r="X28" i="3"/>
  <c r="V11" i="6"/>
  <c r="V17" i="6" s="1"/>
  <c r="V17" i="5"/>
  <c r="W9" i="5" l="1"/>
  <c r="W10" i="5"/>
  <c r="W7" i="5"/>
  <c r="V19" i="5"/>
  <c r="V21" i="5" s="1"/>
  <c r="V18" i="5"/>
  <c r="Y24" i="3"/>
  <c r="Y25" i="3"/>
  <c r="X39" i="3"/>
  <c r="AG31" i="3"/>
  <c r="AG32" i="3" s="1"/>
  <c r="AG30" i="4" l="1"/>
  <c r="AG38" i="3"/>
  <c r="AH30" i="3"/>
  <c r="V10" i="6"/>
  <c r="V18" i="6" s="1"/>
  <c r="V27" i="6" s="1"/>
  <c r="V29" i="6" s="1"/>
  <c r="W28" i="6" s="1"/>
  <c r="V22" i="5"/>
  <c r="Y26" i="3"/>
  <c r="Y27" i="3" s="1"/>
  <c r="W11" i="6"/>
  <c r="W17" i="6" s="1"/>
  <c r="W17" i="5"/>
  <c r="X31" i="4"/>
  <c r="X32" i="4" s="1"/>
  <c r="X41" i="3"/>
  <c r="X4" i="5"/>
  <c r="X40" i="3"/>
  <c r="X5" i="5" s="1"/>
  <c r="X6" i="5" l="1"/>
  <c r="X42" i="3"/>
  <c r="X15" i="6"/>
  <c r="X8" i="5"/>
  <c r="W19" i="5"/>
  <c r="W21" i="5" s="1"/>
  <c r="W18" i="5"/>
  <c r="Y36" i="3"/>
  <c r="Y35" i="3"/>
  <c r="Y34" i="3"/>
  <c r="Z23" i="3"/>
  <c r="Y37" i="3"/>
  <c r="Y28" i="3"/>
  <c r="AH31" i="3"/>
  <c r="AH32" i="3" s="1"/>
  <c r="W10" i="6" l="1"/>
  <c r="W18" i="6" s="1"/>
  <c r="W27" i="6" s="1"/>
  <c r="W29" i="6" s="1"/>
  <c r="X28" i="6" s="1"/>
  <c r="W22" i="5"/>
  <c r="AH30" i="4"/>
  <c r="AH38" i="3"/>
  <c r="AI30" i="3"/>
  <c r="Z24" i="3"/>
  <c r="Z25" i="3"/>
  <c r="X9" i="5"/>
  <c r="X10" i="5" s="1"/>
  <c r="X7" i="5"/>
  <c r="Y39" i="3"/>
  <c r="Y31" i="4" l="1"/>
  <c r="Y32" i="4" s="1"/>
  <c r="Y40" i="3"/>
  <c r="Y5" i="5" s="1"/>
  <c r="Y4" i="5"/>
  <c r="Z26" i="3"/>
  <c r="Z27" i="3" s="1"/>
  <c r="AI31" i="3"/>
  <c r="AI32" i="3" s="1"/>
  <c r="X11" i="6"/>
  <c r="X17" i="6" s="1"/>
  <c r="X17" i="5"/>
  <c r="AI30" i="4" l="1"/>
  <c r="AI38" i="3"/>
  <c r="AJ30" i="3"/>
  <c r="X19" i="5"/>
  <c r="X21" i="5" s="1"/>
  <c r="X18" i="5"/>
  <c r="Z37" i="3"/>
  <c r="Z36" i="3"/>
  <c r="AA23" i="3"/>
  <c r="Z34" i="3"/>
  <c r="Z35" i="3"/>
  <c r="Z28" i="3"/>
  <c r="Y15" i="6"/>
  <c r="Y8" i="5"/>
  <c r="Y41" i="3"/>
  <c r="X10" i="6" l="1"/>
  <c r="X18" i="6" s="1"/>
  <c r="X27" i="6" s="1"/>
  <c r="X29" i="6" s="1"/>
  <c r="Y28" i="6" s="1"/>
  <c r="X22" i="5"/>
  <c r="AA25" i="3"/>
  <c r="AA24" i="3"/>
  <c r="Y6" i="5"/>
  <c r="Y42" i="3"/>
  <c r="AJ31" i="3"/>
  <c r="AJ32" i="3" s="1"/>
  <c r="Z39" i="3"/>
  <c r="AJ30" i="4" l="1"/>
  <c r="AK30" i="3"/>
  <c r="AJ38" i="3"/>
  <c r="Y9" i="5"/>
  <c r="Y10" i="5" s="1"/>
  <c r="Y7" i="5"/>
  <c r="AA26" i="3"/>
  <c r="AA27" i="3" s="1"/>
  <c r="D38" i="2"/>
  <c r="Z31" i="4"/>
  <c r="Z32" i="4" s="1"/>
  <c r="Z40" i="3"/>
  <c r="Z5" i="5" s="1"/>
  <c r="Z4" i="5"/>
  <c r="Z41" i="3" l="1"/>
  <c r="Z6" i="5" s="1"/>
  <c r="Z42" i="3"/>
  <c r="AK31" i="3"/>
  <c r="AK32" i="3" s="1"/>
  <c r="D8" i="8"/>
  <c r="AB23" i="3"/>
  <c r="AA37" i="3"/>
  <c r="AO37" i="3" s="1"/>
  <c r="AA34" i="3"/>
  <c r="AA36" i="3"/>
  <c r="AO36" i="3" s="1"/>
  <c r="AA35" i="3"/>
  <c r="AO35" i="3" s="1"/>
  <c r="AO27" i="3"/>
  <c r="AA28" i="3"/>
  <c r="Y11" i="6"/>
  <c r="Y17" i="6" s="1"/>
  <c r="Y17" i="5"/>
  <c r="Z15" i="6"/>
  <c r="Z8" i="5"/>
  <c r="AK30" i="4" l="1"/>
  <c r="AK38" i="3"/>
  <c r="AL30" i="3"/>
  <c r="AB25" i="3"/>
  <c r="AB24" i="3"/>
  <c r="AA39" i="3"/>
  <c r="AO34" i="3"/>
  <c r="Y19" i="5"/>
  <c r="Y21" i="5" s="1"/>
  <c r="Y18" i="5"/>
  <c r="Z9" i="5"/>
  <c r="Z10" i="5" s="1"/>
  <c r="Z7" i="5"/>
  <c r="Y10" i="6" l="1"/>
  <c r="Y18" i="6" s="1"/>
  <c r="Y27" i="6" s="1"/>
  <c r="Y29" i="6" s="1"/>
  <c r="Z28" i="6" s="1"/>
  <c r="Y22" i="5"/>
  <c r="AA31" i="4"/>
  <c r="D35" i="2"/>
  <c r="AA40" i="3"/>
  <c r="AA4" i="5"/>
  <c r="D34" i="2"/>
  <c r="AO39" i="3"/>
  <c r="D5" i="8" s="1"/>
  <c r="AB26" i="3"/>
  <c r="AB27" i="3" s="1"/>
  <c r="Z11" i="6"/>
  <c r="Z17" i="6" s="1"/>
  <c r="Z17" i="5"/>
  <c r="AL31" i="3"/>
  <c r="AL32" i="3" s="1"/>
  <c r="AM30" i="3" l="1"/>
  <c r="AL38" i="3"/>
  <c r="AL30" i="4"/>
  <c r="AA5" i="5"/>
  <c r="AO5" i="5" s="1"/>
  <c r="AO40" i="3"/>
  <c r="AO4" i="5"/>
  <c r="AA41" i="3"/>
  <c r="Z19" i="5"/>
  <c r="Z21" i="5" s="1"/>
  <c r="Z18" i="5"/>
  <c r="AB37" i="3"/>
  <c r="AB36" i="3"/>
  <c r="AB34" i="3"/>
  <c r="AB35" i="3"/>
  <c r="AC23" i="3"/>
  <c r="AB28" i="3"/>
  <c r="AA32" i="4"/>
  <c r="AO31" i="4"/>
  <c r="AO32" i="4" s="1"/>
  <c r="AC24" i="3" l="1"/>
  <c r="AC25" i="3"/>
  <c r="AA15" i="6"/>
  <c r="AO15" i="6" s="1"/>
  <c r="AA8" i="5"/>
  <c r="AO8" i="5" s="1"/>
  <c r="D6" i="2" s="1"/>
  <c r="D14" i="8"/>
  <c r="Z10" i="6"/>
  <c r="Z18" i="6" s="1"/>
  <c r="Z27" i="6" s="1"/>
  <c r="Z29" i="6" s="1"/>
  <c r="AA28" i="6" s="1"/>
  <c r="Z22" i="5"/>
  <c r="AA6" i="5"/>
  <c r="AO41" i="3"/>
  <c r="AA42" i="3"/>
  <c r="AB39" i="3"/>
  <c r="AM31" i="3"/>
  <c r="AM32" i="3" s="1"/>
  <c r="E9" i="8" l="1"/>
  <c r="F9" i="8" s="1"/>
  <c r="AM30" i="4"/>
  <c r="AM38" i="3"/>
  <c r="AP38" i="3" s="1"/>
  <c r="AP32" i="3"/>
  <c r="AB31" i="4"/>
  <c r="AB40" i="3"/>
  <c r="AB41" i="3" s="1"/>
  <c r="AB4" i="5"/>
  <c r="AA9" i="5"/>
  <c r="AA10" i="5" s="1"/>
  <c r="AO6" i="5"/>
  <c r="D6" i="8" s="1"/>
  <c r="AA7" i="5"/>
  <c r="AC26" i="3"/>
  <c r="AC27" i="3" s="1"/>
  <c r="AB6" i="5" l="1"/>
  <c r="AB42" i="3"/>
  <c r="AB5" i="5"/>
  <c r="AD23" i="3"/>
  <c r="AC34" i="3"/>
  <c r="AC36" i="3"/>
  <c r="AC35" i="3"/>
  <c r="AC37" i="3"/>
  <c r="AC28" i="3"/>
  <c r="AB32" i="4"/>
  <c r="C23" i="2"/>
  <c r="C21" i="2"/>
  <c r="AP30" i="4"/>
  <c r="AA11" i="6"/>
  <c r="AA17" i="5"/>
  <c r="AO9" i="5"/>
  <c r="AD25" i="3" l="1"/>
  <c r="AD24" i="3"/>
  <c r="AB15" i="6"/>
  <c r="AB8" i="5"/>
  <c r="AB7" i="5"/>
  <c r="D36" i="2"/>
  <c r="D39" i="2"/>
  <c r="D40" i="2" s="1"/>
  <c r="D41" i="2"/>
  <c r="AA19" i="5"/>
  <c r="AO19" i="5" s="1"/>
  <c r="AO17" i="5"/>
  <c r="AA18" i="5"/>
  <c r="AA17" i="6"/>
  <c r="AO17" i="6" s="1"/>
  <c r="AO11" i="6"/>
  <c r="AC39" i="3"/>
  <c r="D11" i="8" l="1"/>
  <c r="D37" i="2"/>
  <c r="D14" i="2"/>
  <c r="E14" i="2" s="1"/>
  <c r="D7" i="2"/>
  <c r="AA21" i="5"/>
  <c r="AC40" i="3"/>
  <c r="AC41" i="3" s="1"/>
  <c r="AC31" i="4"/>
  <c r="AC4" i="5"/>
  <c r="AD26" i="3"/>
  <c r="AD27" i="3" s="1"/>
  <c r="AB9" i="5"/>
  <c r="AA10" i="6" l="1"/>
  <c r="AO21" i="5"/>
  <c r="AA22" i="5"/>
  <c r="AC6" i="5"/>
  <c r="AC42" i="3"/>
  <c r="AC32" i="4"/>
  <c r="AC5" i="5"/>
  <c r="AB11" i="6"/>
  <c r="AB17" i="5"/>
  <c r="AB10" i="5"/>
  <c r="AD36" i="3"/>
  <c r="AD34" i="3"/>
  <c r="AD37" i="3"/>
  <c r="AD35" i="3"/>
  <c r="AE23" i="3"/>
  <c r="AD28" i="3"/>
  <c r="AC15" i="6" l="1"/>
  <c r="AC8" i="5"/>
  <c r="AD39" i="3"/>
  <c r="AB17" i="6"/>
  <c r="AB19" i="5"/>
  <c r="AB21" i="5"/>
  <c r="AB18" i="5"/>
  <c r="AC9" i="5"/>
  <c r="AC10" i="5" s="1"/>
  <c r="AC7" i="5"/>
  <c r="H6" i="9"/>
  <c r="H7" i="9" s="1"/>
  <c r="H11" i="9" s="1"/>
  <c r="D12" i="8"/>
  <c r="C30" i="2"/>
  <c r="I5" i="9"/>
  <c r="AE24" i="3"/>
  <c r="AE25" i="3"/>
  <c r="AA18" i="6"/>
  <c r="AO10" i="6"/>
  <c r="AB10" i="6" l="1"/>
  <c r="AB22" i="5"/>
  <c r="AA27" i="6"/>
  <c r="AO18" i="6"/>
  <c r="AE26" i="3"/>
  <c r="AE27" i="3" s="1"/>
  <c r="AC11" i="6"/>
  <c r="AC17" i="5"/>
  <c r="AD40" i="3"/>
  <c r="AD41" i="3" s="1"/>
  <c r="AD4" i="5"/>
  <c r="AD31" i="4"/>
  <c r="AC19" i="5" l="1"/>
  <c r="AC21" i="5"/>
  <c r="AC18" i="5"/>
  <c r="AC17" i="6"/>
  <c r="AE36" i="3"/>
  <c r="AF23" i="3"/>
  <c r="AE35" i="3"/>
  <c r="AE34" i="3"/>
  <c r="AE37" i="3"/>
  <c r="AE28" i="3"/>
  <c r="AO27" i="6"/>
  <c r="D8" i="2" s="1"/>
  <c r="AA29" i="6"/>
  <c r="AD32" i="4"/>
  <c r="AD6" i="5"/>
  <c r="AD42" i="3"/>
  <c r="AD5" i="5"/>
  <c r="AB18" i="6"/>
  <c r="AF24" i="3" l="1"/>
  <c r="AF25" i="3"/>
  <c r="AB27" i="6"/>
  <c r="AD15" i="6"/>
  <c r="AD8" i="5"/>
  <c r="C7" i="9"/>
  <c r="C8" i="9" s="1"/>
  <c r="C9" i="9" s="1"/>
  <c r="C11" i="9" s="1"/>
  <c r="AB28" i="6"/>
  <c r="AB29" i="6" s="1"/>
  <c r="AC28" i="6" s="1"/>
  <c r="D18" i="8"/>
  <c r="AO29" i="6"/>
  <c r="C15" i="2"/>
  <c r="AC10" i="6"/>
  <c r="AC22" i="5"/>
  <c r="AD7" i="5"/>
  <c r="AE39" i="3"/>
  <c r="AC18" i="6" l="1"/>
  <c r="AE40" i="3"/>
  <c r="AE41" i="3" s="1"/>
  <c r="AE31" i="4"/>
  <c r="AE4" i="5"/>
  <c r="AD9" i="5"/>
  <c r="AF26" i="3"/>
  <c r="AF27" i="3" s="1"/>
  <c r="AE6" i="5" l="1"/>
  <c r="AE42" i="3"/>
  <c r="AF34" i="3"/>
  <c r="AF36" i="3"/>
  <c r="AF35" i="3"/>
  <c r="AF37" i="3"/>
  <c r="AG23" i="3"/>
  <c r="AF28" i="3"/>
  <c r="AE5" i="5"/>
  <c r="AE32" i="4"/>
  <c r="AC27" i="6"/>
  <c r="AD11" i="6"/>
  <c r="AD17" i="5"/>
  <c r="AD10" i="5"/>
  <c r="AD17" i="6" l="1"/>
  <c r="AC29" i="6"/>
  <c r="AD28" i="6" s="1"/>
  <c r="AF39" i="3"/>
  <c r="AE15" i="6"/>
  <c r="AE8" i="5"/>
  <c r="AE9" i="5" s="1"/>
  <c r="AG24" i="3"/>
  <c r="AG25" i="3"/>
  <c r="AE7" i="5"/>
  <c r="AD19" i="5"/>
  <c r="AD21" i="5" s="1"/>
  <c r="AD18" i="5"/>
  <c r="AE11" i="6" l="1"/>
  <c r="AE17" i="5"/>
  <c r="AE10" i="5"/>
  <c r="AD10" i="6"/>
  <c r="AD22" i="5"/>
  <c r="AF40" i="3"/>
  <c r="AF31" i="4"/>
  <c r="AF4" i="5"/>
  <c r="AG26" i="3"/>
  <c r="AG27" i="3" s="1"/>
  <c r="AF5" i="5" l="1"/>
  <c r="AF41" i="3"/>
  <c r="AD18" i="6"/>
  <c r="AG34" i="3"/>
  <c r="AG35" i="3"/>
  <c r="AG37" i="3"/>
  <c r="AH23" i="3"/>
  <c r="AG36" i="3"/>
  <c r="AG28" i="3"/>
  <c r="AE21" i="5"/>
  <c r="AE19" i="5"/>
  <c r="AE18" i="5"/>
  <c r="AF32" i="4"/>
  <c r="AE17" i="6"/>
  <c r="AF15" i="6" l="1"/>
  <c r="AF8" i="5"/>
  <c r="AG39" i="3"/>
  <c r="AE10" i="6"/>
  <c r="AE22" i="5"/>
  <c r="AD27" i="6"/>
  <c r="AF6" i="5"/>
  <c r="AF42" i="3"/>
  <c r="AH24" i="3"/>
  <c r="AH25" i="3"/>
  <c r="AG31" i="4" l="1"/>
  <c r="AG32" i="4" s="1"/>
  <c r="AG40" i="3"/>
  <c r="AG5" i="5" s="1"/>
  <c r="AG4" i="5"/>
  <c r="AD29" i="6"/>
  <c r="AE28" i="6" s="1"/>
  <c r="AH26" i="3"/>
  <c r="AH27" i="3" s="1"/>
  <c r="AE18" i="6"/>
  <c r="AF9" i="5"/>
  <c r="AF10" i="5" s="1"/>
  <c r="AF7" i="5"/>
  <c r="AE27" i="6" l="1"/>
  <c r="AE29" i="6"/>
  <c r="AF28" i="6" s="1"/>
  <c r="AG41" i="3"/>
  <c r="AH35" i="3"/>
  <c r="AH37" i="3"/>
  <c r="AH36" i="3"/>
  <c r="AH34" i="3"/>
  <c r="AI23" i="3"/>
  <c r="AH28" i="3"/>
  <c r="AF11" i="6"/>
  <c r="AF17" i="5"/>
  <c r="AG15" i="6"/>
  <c r="AG8" i="5"/>
  <c r="AH39" i="3" l="1"/>
  <c r="AF19" i="5"/>
  <c r="AF21" i="5" s="1"/>
  <c r="AF18" i="5"/>
  <c r="AG6" i="5"/>
  <c r="AG42" i="3"/>
  <c r="AF17" i="6"/>
  <c r="AI24" i="3"/>
  <c r="AI25" i="3"/>
  <c r="AF10" i="6" l="1"/>
  <c r="AF22" i="5"/>
  <c r="AG9" i="5"/>
  <c r="AG10" i="5" s="1"/>
  <c r="AG7" i="5"/>
  <c r="AI26" i="3"/>
  <c r="AI27" i="3" s="1"/>
  <c r="AH31" i="4"/>
  <c r="AH32" i="4" s="1"/>
  <c r="AH4" i="5"/>
  <c r="AH40" i="3"/>
  <c r="AH5" i="5" s="1"/>
  <c r="AH41" i="3" l="1"/>
  <c r="AH15" i="6"/>
  <c r="AH8" i="5"/>
  <c r="AI36" i="3"/>
  <c r="AI34" i="3"/>
  <c r="AI35" i="3"/>
  <c r="AI37" i="3"/>
  <c r="AJ23" i="3"/>
  <c r="AI28" i="3"/>
  <c r="AG11" i="6"/>
  <c r="AG17" i="6" s="1"/>
  <c r="AG17" i="5"/>
  <c r="AH6" i="5"/>
  <c r="AH42" i="3"/>
  <c r="AF18" i="6"/>
  <c r="AJ25" i="3" l="1"/>
  <c r="AJ24" i="3"/>
  <c r="AJ26" i="3" s="1"/>
  <c r="AJ27" i="3" s="1"/>
  <c r="AF27" i="6"/>
  <c r="AF29" i="6" s="1"/>
  <c r="AG28" i="6" s="1"/>
  <c r="AI39" i="3"/>
  <c r="AH9" i="5"/>
  <c r="AH10" i="5" s="1"/>
  <c r="AH7" i="5"/>
  <c r="AG19" i="5"/>
  <c r="AG21" i="5" s="1"/>
  <c r="AG18" i="5"/>
  <c r="AG10" i="6" l="1"/>
  <c r="AG18" i="6" s="1"/>
  <c r="AG27" i="6" s="1"/>
  <c r="AG22" i="5"/>
  <c r="AJ37" i="3"/>
  <c r="AJ35" i="3"/>
  <c r="AK23" i="3"/>
  <c r="AJ36" i="3"/>
  <c r="AJ34" i="3"/>
  <c r="AJ28" i="3"/>
  <c r="AH11" i="6"/>
  <c r="AH17" i="6" s="1"/>
  <c r="AH17" i="5"/>
  <c r="AI31" i="4"/>
  <c r="AI32" i="4" s="1"/>
  <c r="AI40" i="3"/>
  <c r="AI5" i="5" s="1"/>
  <c r="AI4" i="5"/>
  <c r="AG29" i="6"/>
  <c r="AH28" i="6" s="1"/>
  <c r="AJ39" i="3" l="1"/>
  <c r="AJ31" i="4"/>
  <c r="AJ32" i="4" s="1"/>
  <c r="AJ4" i="5"/>
  <c r="AJ40" i="3"/>
  <c r="AJ5" i="5" s="1"/>
  <c r="AK24" i="3"/>
  <c r="AK25" i="3"/>
  <c r="AI15" i="6"/>
  <c r="AI8" i="5"/>
  <c r="AI41" i="3"/>
  <c r="AH19" i="5"/>
  <c r="AH21" i="5" s="1"/>
  <c r="AH18" i="5"/>
  <c r="AH10" i="6" l="1"/>
  <c r="AH18" i="6" s="1"/>
  <c r="AH27" i="6" s="1"/>
  <c r="AH29" i="6" s="1"/>
  <c r="AI28" i="6" s="1"/>
  <c r="AH22" i="5"/>
  <c r="AK26" i="3"/>
  <c r="AK27" i="3" s="1"/>
  <c r="AI6" i="5"/>
  <c r="AI42" i="3"/>
  <c r="AJ41" i="3"/>
  <c r="AJ15" i="6"/>
  <c r="AJ8" i="5"/>
  <c r="AK37" i="3" l="1"/>
  <c r="AL23" i="3"/>
  <c r="AK36" i="3"/>
  <c r="AK35" i="3"/>
  <c r="AK34" i="3"/>
  <c r="AK28" i="3"/>
  <c r="AJ6" i="5"/>
  <c r="AI9" i="5"/>
  <c r="AI7" i="5"/>
  <c r="AJ42" i="3"/>
  <c r="AK39" i="3" l="1"/>
  <c r="AJ9" i="5"/>
  <c r="AJ7" i="5"/>
  <c r="AL25" i="3"/>
  <c r="AL24" i="3"/>
  <c r="AK40" i="3"/>
  <c r="AK5" i="5" s="1"/>
  <c r="AK31" i="4"/>
  <c r="AK32" i="4" s="1"/>
  <c r="AK4" i="5"/>
  <c r="AI11" i="6"/>
  <c r="AI17" i="6" s="1"/>
  <c r="AI17" i="5"/>
  <c r="AI10" i="5"/>
  <c r="AL26" i="3" l="1"/>
  <c r="AL27" i="3" s="1"/>
  <c r="AK41" i="3"/>
  <c r="AL37" i="3"/>
  <c r="AL34" i="3"/>
  <c r="AL35" i="3"/>
  <c r="AM23" i="3"/>
  <c r="AL36" i="3"/>
  <c r="AL28" i="3"/>
  <c r="AK6" i="5"/>
  <c r="AK42" i="3"/>
  <c r="AI19" i="5"/>
  <c r="AI21" i="5" s="1"/>
  <c r="AI18" i="5"/>
  <c r="AJ11" i="6"/>
  <c r="AJ17" i="6" s="1"/>
  <c r="AJ17" i="5"/>
  <c r="AJ10" i="5"/>
  <c r="AK15" i="6"/>
  <c r="AK8" i="5"/>
  <c r="AK9" i="5" l="1"/>
  <c r="AK7" i="5"/>
  <c r="AJ19" i="5"/>
  <c r="AJ21" i="5" s="1"/>
  <c r="AJ18" i="5"/>
  <c r="AM25" i="3"/>
  <c r="AM24" i="3"/>
  <c r="AL39" i="3"/>
  <c r="AI10" i="6"/>
  <c r="AI18" i="6" s="1"/>
  <c r="AI27" i="6" s="1"/>
  <c r="AI29" i="6" s="1"/>
  <c r="AJ28" i="6" s="1"/>
  <c r="AI22" i="5"/>
  <c r="AK11" i="6" l="1"/>
  <c r="AK17" i="6" s="1"/>
  <c r="AK17" i="5"/>
  <c r="AK10" i="5"/>
  <c r="AJ10" i="6"/>
  <c r="AJ18" i="6" s="1"/>
  <c r="AJ27" i="6" s="1"/>
  <c r="AJ29" i="6" s="1"/>
  <c r="AK28" i="6" s="1"/>
  <c r="AJ22" i="5"/>
  <c r="AL31" i="4"/>
  <c r="AL32" i="4" s="1"/>
  <c r="AL40" i="3"/>
  <c r="AL5" i="5" s="1"/>
  <c r="AL4" i="5"/>
  <c r="AM26" i="3"/>
  <c r="AM27" i="3" s="1"/>
  <c r="E38" i="2"/>
  <c r="AL41" i="3" l="1"/>
  <c r="AL15" i="6"/>
  <c r="AL8" i="5"/>
  <c r="AK19" i="5"/>
  <c r="AK21" i="5" s="1"/>
  <c r="AK18" i="5"/>
  <c r="E8" i="8"/>
  <c r="F8" i="8" s="1"/>
  <c r="AM36" i="3"/>
  <c r="AP36" i="3" s="1"/>
  <c r="AM34" i="3"/>
  <c r="AM37" i="3"/>
  <c r="AP37" i="3" s="1"/>
  <c r="AM35" i="3"/>
  <c r="AP35" i="3" s="1"/>
  <c r="AP27" i="3"/>
  <c r="AM28" i="3"/>
  <c r="AK10" i="6" l="1"/>
  <c r="AK18" i="6" s="1"/>
  <c r="AK27" i="6" s="1"/>
  <c r="AK29" i="6" s="1"/>
  <c r="AL28" i="6" s="1"/>
  <c r="AK22" i="5"/>
  <c r="AL6" i="5"/>
  <c r="AL42" i="3"/>
  <c r="AM39" i="3"/>
  <c r="AP34" i="3"/>
  <c r="AM40" i="3" l="1"/>
  <c r="E34" i="2"/>
  <c r="AM31" i="4"/>
  <c r="AM41" i="3"/>
  <c r="E35" i="2"/>
  <c r="AM4" i="5"/>
  <c r="AP39" i="3"/>
  <c r="E5" i="8" s="1"/>
  <c r="F5" i="8" s="1"/>
  <c r="AL9" i="5"/>
  <c r="AL7" i="5"/>
  <c r="AP4" i="5" l="1"/>
  <c r="AL11" i="6"/>
  <c r="AL17" i="6" s="1"/>
  <c r="AL17" i="5"/>
  <c r="AM32" i="4"/>
  <c r="AP31" i="4"/>
  <c r="AP32" i="4" s="1"/>
  <c r="AM6" i="5"/>
  <c r="AP41" i="3"/>
  <c r="AM42" i="3"/>
  <c r="AL10" i="5"/>
  <c r="AM5" i="5"/>
  <c r="AP5" i="5" s="1"/>
  <c r="AP40" i="3"/>
  <c r="AP6" i="5" l="1"/>
  <c r="E6" i="8" s="1"/>
  <c r="F6" i="8" s="1"/>
  <c r="AM7" i="5"/>
  <c r="AL19" i="5"/>
  <c r="AL21" i="5" s="1"/>
  <c r="AL18" i="5"/>
  <c r="AM15" i="6"/>
  <c r="AP15" i="6" s="1"/>
  <c r="AM8" i="5"/>
  <c r="AP8" i="5" s="1"/>
  <c r="E6" i="2" s="1"/>
  <c r="E14" i="8"/>
  <c r="F14" i="8" s="1"/>
  <c r="AL10" i="6" l="1"/>
  <c r="AL18" i="6" s="1"/>
  <c r="AL27" i="6" s="1"/>
  <c r="AL29" i="6" s="1"/>
  <c r="AM28" i="6" s="1"/>
  <c r="AL22" i="5"/>
  <c r="AM9" i="5"/>
  <c r="AM11" i="6" l="1"/>
  <c r="AM17" i="5"/>
  <c r="AP9" i="5"/>
  <c r="AM10" i="5"/>
  <c r="C22" i="2" s="1"/>
  <c r="E36" i="2" l="1"/>
  <c r="E39" i="2"/>
  <c r="E40" i="2" s="1"/>
  <c r="E41" i="2"/>
  <c r="AM19" i="5"/>
  <c r="AP19" i="5" s="1"/>
  <c r="AP17" i="5"/>
  <c r="AM18" i="5"/>
  <c r="AM17" i="6"/>
  <c r="AP17" i="6" s="1"/>
  <c r="AP11" i="6"/>
  <c r="AM21" i="5" l="1"/>
  <c r="E11" i="8"/>
  <c r="E7" i="2"/>
  <c r="E37" i="2"/>
  <c r="E15" i="2"/>
  <c r="D15" i="2"/>
  <c r="AM10" i="6"/>
  <c r="AP21" i="5"/>
  <c r="AM22" i="5"/>
  <c r="I6" i="9" l="1"/>
  <c r="I7" i="9" s="1"/>
  <c r="I11" i="9" s="1"/>
  <c r="E12" i="8"/>
  <c r="AM18" i="6"/>
  <c r="AP10" i="6"/>
  <c r="AM27" i="6" l="1"/>
  <c r="AP18" i="6"/>
  <c r="AP27" i="6" l="1"/>
  <c r="E8" i="2" s="1"/>
  <c r="AM29" i="6"/>
  <c r="AP29" i="6" l="1"/>
  <c r="D7" i="9"/>
  <c r="D8" i="9" s="1"/>
  <c r="D9" i="9" s="1"/>
  <c r="D11" i="9" s="1"/>
  <c r="E18" i="8"/>
  <c r="C27" i="2"/>
  <c r="C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 Gp</author>
  </authors>
  <commentList>
    <comment ref="C19" authorId="0" shapeId="0" xr:uid="{00000000-0006-0000-0300-000001000000}">
      <text>
        <r>
          <rPr>
            <sz val="10"/>
            <rFont val="Arial"/>
            <family val="2"/>
          </rPr>
          <t>Xavi Gp:
-</t>
        </r>
      </text>
    </comment>
  </commentList>
</comments>
</file>

<file path=xl/sharedStrings.xml><?xml version="1.0" encoding="utf-8"?>
<sst xmlns="http://schemas.openxmlformats.org/spreadsheetml/2006/main" count="665" uniqueCount="354">
  <si>
    <t>TalentPact</t>
  </si>
  <si>
    <t>Financial Model — 36 Months (2026–2028)</t>
  </si>
  <si>
    <t>Empresa</t>
  </si>
  <si>
    <t>Website</t>
  </si>
  <si>
    <t>talentpact.es</t>
  </si>
  <si>
    <t>Horizonte</t>
  </si>
  <si>
    <t>36 meses (Ene 2026 – Dic 2028)</t>
  </si>
  <si>
    <t>Divisa</t>
  </si>
  <si>
    <t>EUR (€)</t>
  </si>
  <si>
    <t>Escenario</t>
  </si>
  <si>
    <t>Base Case</t>
  </si>
  <si>
    <t>Última actualización</t>
  </si>
  <si>
    <t>17/04/2026 (corregido)</t>
  </si>
  <si>
    <t>Fundadores</t>
  </si>
  <si>
    <t xml:space="preserve"> Iván Sánchez · Xavier Griñó</t>
  </si>
  <si>
    <t>Corrección</t>
  </si>
  <si>
    <t>Balance reconstruido · Cashflow corregido (+equity/+ENISA) · P&amp;L corregido · Nueva hoja Análisis</t>
  </si>
  <si>
    <t>Leyenda de Colores</t>
  </si>
  <si>
    <t xml:space="preserve">  Azul</t>
  </si>
  <si>
    <t>Inputs / Supuestos editables</t>
  </si>
  <si>
    <t xml:space="preserve">  Negro</t>
  </si>
  <si>
    <t>Fórmulas y cálculos</t>
  </si>
  <si>
    <t xml:space="preserve">  Verde</t>
  </si>
  <si>
    <t>Referencias a otras pestañas</t>
  </si>
  <si>
    <t xml:space="preserve">  Rojo</t>
  </si>
  <si>
    <t>Valores negativos / alertas</t>
  </si>
  <si>
    <t xml:space="preserve">  Amarillo (fondo)</t>
  </si>
  <si>
    <t>Celdas clave de supuestos</t>
  </si>
  <si>
    <t>TALENTPACT — ANÁLISIS FINANCIERO</t>
  </si>
  <si>
    <t>Break-even · Burn Rate · Runway · Ratios clave</t>
  </si>
  <si>
    <t>1. BURN RATE (Ritmo mensual de consumo de caja)</t>
  </si>
  <si>
    <t>Métrica</t>
  </si>
  <si>
    <t>2026</t>
  </si>
  <si>
    <t>2027</t>
  </si>
  <si>
    <t>2028</t>
  </si>
  <si>
    <t>Descripción</t>
  </si>
  <si>
    <t>Gross Burn (Salidas de caja/mes)</t>
  </si>
  <si>
    <t>COGS + SG&amp;A / 12</t>
  </si>
  <si>
    <t>Net Burn (EBITDA negativo/mes)</t>
  </si>
  <si>
    <t>EBITDA negativo / 12 (pérdida operativa media)</t>
  </si>
  <si>
    <t>Cash Burn medio (variación caja/mes)</t>
  </si>
  <si>
    <t>Variación neta anual / 12 (incluye equity + ENISA + capex)</t>
  </si>
  <si>
    <t>2. RUNWAY (Meses de caja disponible)</t>
  </si>
  <si>
    <t>Momento</t>
  </si>
  <si>
    <t>Caja €</t>
  </si>
  <si>
    <t>Net Burn €/mes</t>
  </si>
  <si>
    <t>Runway (meses)</t>
  </si>
  <si>
    <t>Inicio (Ene-26) con Pre-Seed 180k</t>
  </si>
  <si>
    <t>Runway con sólo Equity (sin ENISA) a burn 2026</t>
  </si>
  <si>
    <t>Inicio (Ene-26) con Pre-Seed + ENISA (230k)</t>
  </si>
  <si>
    <t>Runway con toda la financiación a burn 2026 (best case)</t>
  </si>
  <si>
    <t>Fin 2026 (caja 160k) al burn 2027</t>
  </si>
  <si>
    <t>Runway con caja a 31-Dic-26 al ritmo de burn 2027</t>
  </si>
  <si>
    <t>Fin 2027 (caja 63k) al burn 2028 (si neg.)</t>
  </si>
  <si>
    <t>Runway a 31-Dic-27. Si EBITDA&gt;0, ya no quema caja</t>
  </si>
  <si>
    <t>3. BREAK-EVEN (Punto de equilibrio)</t>
  </si>
  <si>
    <t>Indicador</t>
  </si>
  <si>
    <t>Valor</t>
  </si>
  <si>
    <t>Comentario</t>
  </si>
  <si>
    <t>Primer mes con EBITDA ≥ 0</t>
  </si>
  <si>
    <t>Mes en que se alcanza break-even operativo mensual</t>
  </si>
  <si>
    <t>Primer mes con Net Income ≥ 0</t>
  </si>
  <si>
    <t>Mes de break-even neto (después de intereses e impuestos)</t>
  </si>
  <si>
    <t>Revenue neto/mes para break-even oper. (a SG&amp;A Dic-27)</t>
  </si>
  <si>
    <t>SG&amp;A mensual Dic-27 ÷ Gross Margin %</t>
  </si>
  <si>
    <t>Revenue neto/mes para break-even oper. (a SG&amp;A Dic-28)</t>
  </si>
  <si>
    <t>SG&amp;A mensual Dic-28 ÷ Gross Margin %</t>
  </si>
  <si>
    <t>Empresas (B2B) necesarias para BE oper. a Dic-27</t>
  </si>
  <si>
    <t>Rev. BE ÷ ARPU blended (Dic-27)</t>
  </si>
  <si>
    <t>4. CAJA MÍNIMA Y NECESIDADES DE FINANCIACIÓN</t>
  </si>
  <si>
    <t>Detalle</t>
  </si>
  <si>
    <t>Caja mínima proyectada (valle)</t>
  </si>
  <si>
    <t>Punto más bajo en los 36 meses de horizonte</t>
  </si>
  <si>
    <t>Mes de caja mínima</t>
  </si>
  <si>
    <t>Mes en que la caja toca fondo</t>
  </si>
  <si>
    <t>Capital total necesario (Equity + ENISA)</t>
  </si>
  <si>
    <t>Fondos necesarios para mantener caja &gt; 0 hasta break-even</t>
  </si>
  <si>
    <t>Pérdida acumulada hasta break-even</t>
  </si>
  <si>
    <t>Pérdidas 2026 + 2027 (hasta que se vuelve rentable en 2028)</t>
  </si>
  <si>
    <t>5. KPIs SaaS CLAVE</t>
  </si>
  <si>
    <t>ARR (Annualized Run Rate) Dic</t>
  </si>
  <si>
    <t>Revenue Diciembre × 12</t>
  </si>
  <si>
    <t>ARPU Blended B2B (€/empresa/mes)</t>
  </si>
  <si>
    <t>Revenue mes Dic ÷ Empresas EOM Dic</t>
  </si>
  <si>
    <t>Gross Margin %</t>
  </si>
  <si>
    <t>Gross Profit / Net Revenue</t>
  </si>
  <si>
    <t>EBITDA Margin %</t>
  </si>
  <si>
    <t>EBITDA / Net Revenue</t>
  </si>
  <si>
    <t>CAC B2B (€/nueva empresa)</t>
  </si>
  <si>
    <t>Marketing total ÷ Nuevas empresas</t>
  </si>
  <si>
    <t>LTV B2B (Customer Lifetime Value)</t>
  </si>
  <si>
    <t>ARPU × GM% ÷ churn mensual</t>
  </si>
  <si>
    <t>Ratio LTV / CAC (objetivo &gt; 3x)</t>
  </si>
  <si>
    <t>LTV ÷ CAC (sano si &gt; 3x; excelente si &gt; 5x)</t>
  </si>
  <si>
    <t>Payback CAC (meses)</t>
  </si>
  <si>
    <t>CAC ÷ (ARPU × GM%). Meses para recuperar el CAC</t>
  </si>
  <si>
    <t>TalentPact — Revenue Buildup (36 meses)</t>
  </si>
  <si>
    <t>TalentPact - Financial Model</t>
  </si>
  <si>
    <t>Units</t>
  </si>
  <si>
    <t>Total 2026</t>
  </si>
  <si>
    <t>Total 2027</t>
  </si>
  <si>
    <t>Total 2028</t>
  </si>
  <si>
    <t>Revenue Buildup</t>
  </si>
  <si>
    <t>Ref.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</si>
  <si>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</si>
  <si>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</si>
  <si>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</si>
  <si>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</si>
  <si>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</si>
  <si>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</si>
  <si>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</si>
  <si>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</si>
  <si>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</si>
  <si>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</si>
  <si>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</si>
  <si>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</si>
  <si>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</si>
  <si>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</si>
  <si>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</si>
  <si>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</si>
  <si>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</si>
  <si>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</si>
  <si>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</si>
  <si>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</si>
  <si>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</si>
  <si>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</si>
  <si>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</si>
  <si>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</si>
  <si>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Jan 2028</t>
  </si>
  <si>
    <t>Feb 2028</t>
  </si>
  <si>
    <t>Mar 2028</t>
  </si>
  <si>
    <t>Apr 2028</t>
  </si>
  <si>
    <t>May 2028</t>
  </si>
  <si>
    <t>Jun 2028</t>
  </si>
  <si>
    <t>Jul 2028</t>
  </si>
  <si>
    <t>Aug 2028</t>
  </si>
  <si>
    <t>Sep 2028</t>
  </si>
  <si>
    <t>Oct 2028</t>
  </si>
  <si>
    <t>Nov 2028</t>
  </si>
  <si>
    <t>Dec 2028</t>
  </si>
  <si>
    <t>Anual 2026</t>
  </si>
  <si>
    <t>Anual 2027</t>
  </si>
  <si>
    <t>Anual 2028</t>
  </si>
  <si>
    <t xml:space="preserve">CRECIMIENTO </t>
  </si>
  <si>
    <t>EL % SE CAMBIA SEGUN EL VALOR SI, ES 1 ES MODO NORMAL SI CAMBIAMOS A 0,8 ES MODELO CONSERVADOR Y A 1,3 ES MODELO AGRESIVO</t>
  </si>
  <si>
    <t>SUPUESTOS / ASSUMPTIONS</t>
  </si>
  <si>
    <t>% crecimiento empresas nuevas lógico</t>
  </si>
  <si>
    <t>% crecimiento empresas nuevas (monthly adds)</t>
  </si>
  <si>
    <t>% churn empresas suscripción (mensual)</t>
  </si>
  <si>
    <t>Precio: Individual pago único</t>
  </si>
  <si>
    <t>€/contacto</t>
  </si>
  <si>
    <t>Precio: Pro (€/mes, suscripción)</t>
  </si>
  <si>
    <t>€/mes</t>
  </si>
  <si>
    <t>Precio: Ejercicio personalizado</t>
  </si>
  <si>
    <t>Precio: Enterprise (€/mes, suscripción)</t>
  </si>
  <si>
    <t>Precio: B2C reto extra (€)</t>
  </si>
  <si>
    <t>€/reto</t>
  </si>
  <si>
    <t>Comisión pasarela de pago Stripe (%)</t>
  </si>
  <si>
    <t>% crecimiento candidatos lógico</t>
  </si>
  <si>
    <t>% crecimiento candidatos (mensual)</t>
  </si>
  <si>
    <t>% candidatos que pagan B2C</t>
  </si>
  <si>
    <t>Media contactos/empresa Individual (mes)</t>
  </si>
  <si>
    <t>% empresas en plan Pro</t>
  </si>
  <si>
    <t>% empresas en plan Team (299€)</t>
  </si>
  <si>
    <t>% empresas en plan Enterprise</t>
  </si>
  <si>
    <t>EMPRESAS (B2B) — Evolución de clientes</t>
  </si>
  <si>
    <t>Empresas (inicio de mes, BOM)</t>
  </si>
  <si>
    <t>Nuevas empresas</t>
  </si>
  <si>
    <t>Bajas (churn)</t>
  </si>
  <si>
    <t>Neto de altas</t>
  </si>
  <si>
    <t>Empresas (fin de mes, EOM)</t>
  </si>
  <si>
    <t xml:space="preserve">  MoM crecimiento %</t>
  </si>
  <si>
    <t>CANDIDATOS (B2C) — Evolución de usuarios</t>
  </si>
  <si>
    <t>Candidatos (inicio de mes, BOM)</t>
  </si>
  <si>
    <t>Nuevos candidatos</t>
  </si>
  <si>
    <t>Candidatos (fin de mes, EOM)</t>
  </si>
  <si>
    <t>INGRESOS BRUTOS — Revenue Buildup (€)</t>
  </si>
  <si>
    <t>Individual (€49/contacto, pago único)</t>
  </si>
  <si>
    <t>Pro (€199/mes)</t>
  </si>
  <si>
    <t>Ejercicio personalizado</t>
  </si>
  <si>
    <t>Enterprise (€499/mes)</t>
  </si>
  <si>
    <t>B2C (€5/reto extra, 3% candidatos)</t>
  </si>
  <si>
    <t>INGRESO BRUTO TOTAL</t>
  </si>
  <si>
    <t>(-) Comisión Stripe (2%)</t>
  </si>
  <si>
    <t>INGRESO NETO (Net Revenue)</t>
  </si>
  <si>
    <t>N/A</t>
  </si>
  <si>
    <t>TalentPact — COGS, SG&amp;A &amp; Estructura de Costes (36 meses)</t>
  </si>
  <si>
    <t>Año</t>
  </si>
  <si>
    <t>COGS &amp; SG&amp;A Buildup</t>
  </si>
  <si>
    <t>SUPUESTOS COGS</t>
  </si>
  <si>
    <t>Coste API IA por ejercicio (€)</t>
  </si>
  <si>
    <t>Coste API IA por reto (€)</t>
  </si>
  <si>
    <t>Stripe comisión (%)</t>
  </si>
  <si>
    <t>% revenue</t>
  </si>
  <si>
    <t>SUPUESTOS SG&amp;A</t>
  </si>
  <si>
    <t>Salarios fundadores (bruto mensual €)</t>
  </si>
  <si>
    <t>Fundador 1 (CEO)</t>
  </si>
  <si>
    <t>Fundador 2 (CTO)</t>
  </si>
  <si>
    <t>Fundador 3 (Product)</t>
  </si>
  <si>
    <t>Fundador 4 (Growth)</t>
  </si>
  <si>
    <t>Desarrollador</t>
  </si>
  <si>
    <t>Marketing</t>
  </si>
  <si>
    <t>Seguros</t>
  </si>
  <si>
    <t>SaaS de Equipo (Licencias)</t>
  </si>
  <si>
    <t>Infraestructura Fija</t>
  </si>
  <si>
    <t>Compliance y Seguridad</t>
  </si>
  <si>
    <t>Soporte Operaciones IA</t>
  </si>
  <si>
    <t>LinkedIn Sales Navigator (€/mes)</t>
  </si>
  <si>
    <t>Hosting Supabase+Vercel (€/mes)</t>
  </si>
  <si>
    <t>Plataformas digitales Notion/Slack (€/mes)</t>
  </si>
  <si>
    <t>Legal</t>
  </si>
  <si>
    <t xml:space="preserve">Contabilidad </t>
  </si>
  <si>
    <t>CAC / Marketing Acquisition (€/mes)</t>
  </si>
  <si>
    <t>COGS BUILDUP</t>
  </si>
  <si>
    <t>API IA (Claude) — €/reto × retos de candidato</t>
  </si>
  <si>
    <t>Stripe comisión (2% revenue bruto)</t>
  </si>
  <si>
    <t>TOTAL COGS</t>
  </si>
  <si>
    <t>SG&amp;A BUILDUP</t>
  </si>
  <si>
    <t>Total Salarios (4 fundadores)</t>
  </si>
  <si>
    <t>LinkedIn Sales Navigator</t>
  </si>
  <si>
    <t>Hosting (Supabase + Vercel)</t>
  </si>
  <si>
    <t>Plataformas digitales</t>
  </si>
  <si>
    <t>Contabilidad</t>
  </si>
  <si>
    <t>CAC / Marketing Acquisition</t>
  </si>
  <si>
    <t>Total Marketing/Plataformas</t>
  </si>
  <si>
    <t>Total Administración</t>
  </si>
  <si>
    <t>TOTAL SG&amp;A</t>
  </si>
  <si>
    <t>TalentPact — Cuenta de Resultados P&amp;L (36 meses)</t>
  </si>
  <si>
    <t>Nota</t>
  </si>
  <si>
    <t>P&amp;L (€)</t>
  </si>
  <si>
    <t>INGRESO BRUTO</t>
  </si>
  <si>
    <t>(-) Stripe 2%</t>
  </si>
  <si>
    <t>(-) COGS Total</t>
  </si>
  <si>
    <t>GROSS PROFIT</t>
  </si>
  <si>
    <t xml:space="preserve">  Gross Margin %</t>
  </si>
  <si>
    <t>(-) Marketing &amp; CAC</t>
  </si>
  <si>
    <t>(-) Administración</t>
  </si>
  <si>
    <t>(-) Seguros</t>
  </si>
  <si>
    <t>(-) Salarios</t>
  </si>
  <si>
    <t>(-) TOTAL SG&amp;A</t>
  </si>
  <si>
    <t>(-) TOTAL SG&amp;A ESCENARIO</t>
  </si>
  <si>
    <t>EBITDA</t>
  </si>
  <si>
    <t xml:space="preserve">  EBITDA Margin %</t>
  </si>
  <si>
    <t>(-) Impuestos (15% si EBITDA&gt;0)</t>
  </si>
  <si>
    <t>(-) Intereses Préstamo (ENISA)</t>
  </si>
  <si>
    <t>RESULTADO NETO (Net Income)</t>
  </si>
  <si>
    <t xml:space="preserve">  Net Margin %</t>
  </si>
  <si>
    <t>TalentPact — Flujo de Caja (Cashflow) 36 meses</t>
  </si>
  <si>
    <t>Cashflow (€)</t>
  </si>
  <si>
    <t>SUPUESTOS</t>
  </si>
  <si>
    <t>DSO — Días de cobro (días)</t>
  </si>
  <si>
    <t>DPO — Días de pago (días)</t>
  </si>
  <si>
    <t>Inyección equity Pre-Seed (€) — Mes 1</t>
  </si>
  <si>
    <t>Préstamo ENISA no dilutivo (€) — Mes 6 (Jun 2026)</t>
  </si>
  <si>
    <t>ACTIVIDADES OPERATIVAS</t>
  </si>
  <si>
    <t>Resultado neto (Net Income)</t>
  </si>
  <si>
    <t>Cobros de Clientes (informativo)</t>
  </si>
  <si>
    <t>Pago a proveedores (informativo)</t>
  </si>
  <si>
    <t>Pago seguros (informativo)</t>
  </si>
  <si>
    <t>Pago personal (informativo)</t>
  </si>
  <si>
    <t>Variación Cuentas por Pagar (informativo)</t>
  </si>
  <si>
    <t>Amortización Principal ENISA</t>
  </si>
  <si>
    <t>Liquidación IVA (informativo)</t>
  </si>
  <si>
    <t>CASH FLOW OPERATIVO (= Net Income)</t>
  </si>
  <si>
    <t>ACTIVIDADES DE INVERSIÓN</t>
  </si>
  <si>
    <t>CAPEX (equipos, ordenadores)</t>
  </si>
  <si>
    <t>CASH FLOW DE INVERSIÓN</t>
  </si>
  <si>
    <t>ACTIVIDADES DE FINANCIACIÓN</t>
  </si>
  <si>
    <t>Equity Pre-Seed (inyección)</t>
  </si>
  <si>
    <t>Préstamo ENISA (no dilutivo)</t>
  </si>
  <si>
    <t>CASH FLOW DE FINANCIACIÓN</t>
  </si>
  <si>
    <t>POSICIÓN DE CAJA</t>
  </si>
  <si>
    <t>Variación neta de caja</t>
  </si>
  <si>
    <t>Caja inicio de mes (BOM)</t>
  </si>
  <si>
    <t>CAJA FIN DE MES (EOM)</t>
  </si>
  <si>
    <t>Mes</t>
  </si>
  <si>
    <t>Fecha</t>
  </si>
  <si>
    <t>Cuota (Cashflow)</t>
  </si>
  <si>
    <t>Interés (P&amp;L)</t>
  </si>
  <si>
    <t>Amort. (Balance)</t>
  </si>
  <si>
    <t>Deuda Pendiente</t>
  </si>
  <si>
    <t>AÑO 1</t>
  </si>
  <si>
    <t>(Carencia)</t>
  </si>
  <si>
    <t>Sep-26</t>
  </si>
  <si>
    <t>Dic-26</t>
  </si>
  <si>
    <t>AÑO 2</t>
  </si>
  <si>
    <t>Ene-Nov 27</t>
  </si>
  <si>
    <t>Dic-27</t>
  </si>
  <si>
    <t>20-23</t>
  </si>
  <si>
    <t>Ene-Abr 28</t>
  </si>
  <si>
    <t>May-28</t>
  </si>
  <si>
    <t>AÑO 3</t>
  </si>
  <si>
    <t>(Amortiz.)</t>
  </si>
  <si>
    <t>Sep-28</t>
  </si>
  <si>
    <t>Dic-28</t>
  </si>
  <si>
    <t>Ene-29</t>
  </si>
  <si>
    <t>May-29</t>
  </si>
  <si>
    <t>AÑO 4</t>
  </si>
  <si>
    <t>Sep-29</t>
  </si>
  <si>
    <t>Dic-29</t>
  </si>
  <si>
    <t>Ene-30</t>
  </si>
  <si>
    <t>May-30</t>
  </si>
  <si>
    <t>AÑO 5</t>
  </si>
  <si>
    <t>Sep-30</t>
  </si>
  <si>
    <t>Dic-30</t>
  </si>
  <si>
    <t>Ene-31</t>
  </si>
  <si>
    <t>May-31</t>
  </si>
  <si>
    <t>TalentPact — KPI Dashboard (Resumen Anual)</t>
  </si>
  <si>
    <t>KPI / Métrica</t>
  </si>
  <si>
    <t>CAGR</t>
  </si>
  <si>
    <t>INGRESOS</t>
  </si>
  <si>
    <t>Ingreso Bruto (€)</t>
  </si>
  <si>
    <t>Ingreso Neto (€)</t>
  </si>
  <si>
    <t>CLIENTES</t>
  </si>
  <si>
    <t>Empresas EOM (Total)</t>
  </si>
  <si>
    <t>Candidatos EOM (Total)</t>
  </si>
  <si>
    <t>RENTABILIDAD</t>
  </si>
  <si>
    <t>EBITDA (€)</t>
  </si>
  <si>
    <t>Net Income (€)</t>
  </si>
  <si>
    <t>COSTES</t>
  </si>
  <si>
    <t>Total COGS (€)</t>
  </si>
  <si>
    <t>Total SG&amp;A (€)</t>
  </si>
  <si>
    <t>Total Salarios (€)</t>
  </si>
  <si>
    <t>CAJA</t>
  </si>
  <si>
    <t>Caja fin de año (€)</t>
  </si>
  <si>
    <t>TALENTPACT — BALANCE DE SITUACIÓN</t>
  </si>
  <si>
    <t>ACTIVO</t>
  </si>
  <si>
    <t>31-Dic-2026</t>
  </si>
  <si>
    <t>31-Dic-2027</t>
  </si>
  <si>
    <t>31-Dic-2028</t>
  </si>
  <si>
    <t>PASIVO Y PATRIMONIO NETO</t>
  </si>
  <si>
    <t>ACTIVO NO CORRIENTE</t>
  </si>
  <si>
    <t>PATRIMONIO NETO</t>
  </si>
  <si>
    <t xml:space="preserve">  Inmovilizado Material (Equipos)</t>
  </si>
  <si>
    <t xml:space="preserve">  Capital Social (Pre-Seed)</t>
  </si>
  <si>
    <t>TOTAL ACTIVO NO CORRIENTE</t>
  </si>
  <si>
    <t xml:space="preserve">  Reservas (Pérdidas Acumuladas)</t>
  </si>
  <si>
    <t>ACTIVO CORRIENTE</t>
  </si>
  <si>
    <t xml:space="preserve">  Resultado del Ejercicio</t>
  </si>
  <si>
    <t xml:space="preserve">  Tesorería y Equivalentes</t>
  </si>
  <si>
    <t>TOTAL PATRIMONIO NETO</t>
  </si>
  <si>
    <t>TOTAL ACTIVO CORRIENTE</t>
  </si>
  <si>
    <t>PASIVO (Deuda ENISA)</t>
  </si>
  <si>
    <t>TOTAL ACTIVO</t>
  </si>
  <si>
    <t xml:space="preserve">  Préstamo ENISA (Total Outstanding)</t>
  </si>
  <si>
    <t>TOTAL PASIVO</t>
  </si>
  <si>
    <t>CHECK (Activo − Pasivo&amp;PN)</t>
  </si>
  <si>
    <t>TOTAL PASIVO + PATRIMONIO NETO</t>
  </si>
  <si>
    <t>NOTAS:</t>
  </si>
  <si>
    <t>• Modelo simplificado para startup early-stage (sin depreciación ni cuentas AR/AP).</t>
  </si>
  <si>
    <t>• Inmovilizado a valor bruto (equipos/ordenadores por CAPEX acumulado).</t>
  </si>
  <si>
    <t>• Tesorería enlazada con Cashflow!O29 / AA29 / AM29 (caja EOM).</t>
  </si>
  <si>
    <t>• Patrimonio Neto = Capital Pre-Seed + Resultados acumulados + NI del ejercicio.</t>
  </si>
  <si>
    <t>• Deuda = Préstamo ENISA (sin amortización 2026-2027 por carencia; amortiza Jun 2028).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</si>
</sst>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€#,##0;&quot;(€&quot;#,##0\);\-"/>
    <numFmt numFmtId="165" formatCode="0.0&quot; meses&quot;"/>
    <numFmt numFmtId="166" formatCode="0&quot; empresas&quot;"/>
    <numFmt numFmtId="167" formatCode="\€#,##0.00;&quot;(€&quot;#,##0.00\);\-"/>
    <numFmt numFmtId="168" formatCode="0.0%"/>
    <numFmt numFmtId="169" formatCode="0.0\x"/>
    <numFmt numFmtId="170" formatCode="#,##0;\(#,##0\);\-"/>
    <numFmt numFmtId="171" formatCode="#,##0.00;\(#,##0.00\);\-"/>
    <numFmt numFmtId="172" formatCode="\€#,##0"/>
    <numFmt numFmtId="173" formatCode="#,##0.00&quot; €&quot;;[Red]\-#,##0.00&quot; €&quot;"/>
  </numFmts>
  <fonts count="38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8"/>
      <color rgb="FFFFFFFF"/>
      <name val="Arial"/>
      <family val="2"/>
    </font>
    <font>
      <sz val="13"/>
      <color rgb="FFBDD7EE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b/>
      <sz val="10"/>
      <color rgb="FF1F3864"/>
      <name val="Arial"/>
      <family val="2"/>
    </font>
    <font>
      <sz val="9"/>
      <color rgb="FF0000FF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9"/>
      <color rgb="FF006400"/>
      <name val="Arial"/>
      <family val="2"/>
    </font>
    <font>
      <sz val="9"/>
      <color rgb="FFFF0000"/>
      <name val="Arial"/>
      <family val="2"/>
    </font>
    <font>
      <sz val="9"/>
      <color rgb="FFFFF2CC"/>
      <name val="Arial"/>
      <family val="2"/>
    </font>
    <font>
      <b/>
      <sz val="16"/>
      <color rgb="FFFFFFFF"/>
      <name val="Arial"/>
      <family val="2"/>
    </font>
    <font>
      <i/>
      <sz val="11"/>
      <color rgb="FF60606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8000"/>
      <name val="Arial"/>
      <family val="2"/>
    </font>
    <font>
      <i/>
      <sz val="9"/>
      <color rgb="FF606060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b/>
      <sz val="8"/>
      <color rgb="FFFFFFFF"/>
      <name val="Arial"/>
      <family val="2"/>
    </font>
    <font>
      <b/>
      <sz val="11"/>
      <color rgb="FFFF0000"/>
      <name val="Calibri"/>
      <family val="2"/>
      <charset val="1"/>
    </font>
    <font>
      <sz val="9"/>
      <color rgb="FFC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  <charset val="1"/>
    </font>
    <font>
      <sz val="9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rgb="FF1F1F1F"/>
      <name val="Google Sans Text"/>
      <charset val="1"/>
    </font>
    <font>
      <sz val="11"/>
      <color rgb="FF1F1F1F"/>
      <name val="Google Sans Text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6400"/>
      <name val="Arial"/>
      <family val="2"/>
    </font>
    <font>
      <b/>
      <sz val="10"/>
      <color rgb="FF00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1F1F1F"/>
      </patternFill>
    </fill>
    <fill>
      <patternFill patternType="solid">
        <fgColor rgb="FF1F4E79"/>
        <bgColor rgb="FF1F3864"/>
      </patternFill>
    </fill>
    <fill>
      <patternFill patternType="solid">
        <fgColor rgb="FF5B9BD5"/>
        <bgColor rgb="FF96969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EBF5FB"/>
      </patternFill>
    </fill>
    <fill>
      <patternFill patternType="solid">
        <fgColor rgb="FFFFF2CC"/>
        <bgColor rgb="FFE2EFDA"/>
      </patternFill>
    </fill>
    <fill>
      <patternFill patternType="solid">
        <fgColor rgb="FF1F3864"/>
        <bgColor rgb="FF1F4E79"/>
      </patternFill>
    </fill>
    <fill>
      <patternFill patternType="solid">
        <fgColor rgb="FFD6E4F0"/>
        <bgColor rgb="FFE2EFDA"/>
      </patternFill>
    </fill>
    <fill>
      <patternFill patternType="solid">
        <fgColor rgb="FFBDD7EE"/>
        <bgColor rgb="FFD6E4F0"/>
      </patternFill>
    </fill>
    <fill>
      <patternFill patternType="solid">
        <fgColor rgb="FFEBF5FB"/>
        <bgColor rgb="FFE2EFDA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100">
    <xf numFmtId="0" fontId="0" fillId="0" borderId="0" xfId="0"/>
    <xf numFmtId="164" fontId="18" fillId="6" borderId="2" xfId="0" applyNumberFormat="1" applyFont="1" applyFill="1" applyBorder="1" applyAlignment="1">
      <alignment horizontal="right" vertical="center"/>
    </xf>
    <xf numFmtId="0" fontId="18" fillId="0" borderId="2" xfId="0" applyFont="1" applyBorder="1" applyAlignment="1">
      <alignment horizontal="center" vertical="center"/>
    </xf>
    <xf numFmtId="164" fontId="18" fillId="7" borderId="2" xfId="0" applyNumberFormat="1" applyFont="1" applyFill="1" applyBorder="1" applyAlignment="1">
      <alignment horizontal="right" vertical="center"/>
    </xf>
    <xf numFmtId="166" fontId="18" fillId="7" borderId="2" xfId="0" applyNumberFormat="1" applyFont="1" applyFill="1" applyBorder="1" applyAlignment="1">
      <alignment horizontal="right" vertical="center"/>
    </xf>
    <xf numFmtId="164" fontId="18" fillId="0" borderId="2" xfId="0" applyNumberFormat="1" applyFont="1" applyBorder="1" applyAlignment="1">
      <alignment horizontal="right" vertical="center"/>
    </xf>
    <xf numFmtId="0" fontId="18" fillId="7" borderId="2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 vertical="center" indent="1"/>
    </xf>
    <xf numFmtId="0" fontId="15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7" fillId="5" borderId="1" xfId="0" applyFont="1" applyFill="1" applyBorder="1" applyAlignment="1">
      <alignment horizontal="center" vertical="center"/>
    </xf>
    <xf numFmtId="0" fontId="18" fillId="0" borderId="1" xfId="0" applyFont="1" applyBorder="1"/>
    <xf numFmtId="164" fontId="19" fillId="0" borderId="1" xfId="0" applyNumberFormat="1" applyFont="1" applyBorder="1" applyAlignment="1">
      <alignment horizontal="right" vertical="center"/>
    </xf>
    <xf numFmtId="0" fontId="20" fillId="0" borderId="1" xfId="0" applyFont="1" applyBorder="1"/>
    <xf numFmtId="165" fontId="18" fillId="0" borderId="1" xfId="0" applyNumberFormat="1" applyFont="1" applyBorder="1" applyAlignment="1">
      <alignment horizontal="right" vertical="center"/>
    </xf>
    <xf numFmtId="165" fontId="18" fillId="6" borderId="1" xfId="0" applyNumberFormat="1" applyFont="1" applyFill="1" applyBorder="1" applyAlignment="1">
      <alignment horizontal="right" vertical="center"/>
    </xf>
    <xf numFmtId="49" fontId="0" fillId="6" borderId="1" xfId="0" applyNumberFormat="1" applyFill="1" applyBorder="1" applyAlignment="1">
      <alignment horizontal="right" vertical="center"/>
    </xf>
    <xf numFmtId="167" fontId="19" fillId="0" borderId="1" xfId="0" applyNumberFormat="1" applyFont="1" applyBorder="1" applyAlignment="1">
      <alignment horizontal="right" vertical="center"/>
    </xf>
    <xf numFmtId="168" fontId="19" fillId="0" borderId="1" xfId="0" applyNumberFormat="1" applyFont="1" applyBorder="1" applyAlignment="1">
      <alignment horizontal="right" vertical="center"/>
    </xf>
    <xf numFmtId="169" fontId="18" fillId="6" borderId="1" xfId="0" applyNumberFormat="1" applyFont="1" applyFill="1" applyBorder="1" applyAlignment="1">
      <alignment horizontal="right" vertical="center"/>
    </xf>
    <xf numFmtId="0" fontId="21" fillId="8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left"/>
    </xf>
    <xf numFmtId="0" fontId="10" fillId="7" borderId="0" xfId="0" applyFont="1" applyFill="1" applyAlignment="1">
      <alignment horizontal="left" indent="1"/>
    </xf>
    <xf numFmtId="168" fontId="8" fillId="7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left"/>
    </xf>
    <xf numFmtId="170" fontId="8" fillId="7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168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left" indent="1"/>
    </xf>
    <xf numFmtId="170" fontId="8" fillId="0" borderId="0" xfId="0" applyNumberFormat="1" applyFont="1" applyAlignment="1">
      <alignment horizontal="right"/>
    </xf>
    <xf numFmtId="170" fontId="10" fillId="0" borderId="0" xfId="0" applyNumberFormat="1" applyFont="1" applyAlignment="1">
      <alignment horizontal="right"/>
    </xf>
    <xf numFmtId="170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 indent="1"/>
    </xf>
    <xf numFmtId="170" fontId="26" fillId="10" borderId="0" xfId="0" applyNumberFormat="1" applyFont="1" applyFill="1" applyAlignment="1">
      <alignment horizontal="right"/>
    </xf>
    <xf numFmtId="170" fontId="22" fillId="10" borderId="0" xfId="0" applyNumberFormat="1" applyFont="1" applyFill="1" applyAlignment="1">
      <alignment horizontal="right"/>
    </xf>
    <xf numFmtId="0" fontId="10" fillId="0" borderId="0" xfId="0" applyFont="1" applyAlignment="1">
      <alignment horizontal="left" indent="2"/>
    </xf>
    <xf numFmtId="168" fontId="10" fillId="0" borderId="0" xfId="0" applyNumberFormat="1" applyFont="1" applyAlignment="1">
      <alignment horizontal="right"/>
    </xf>
    <xf numFmtId="0" fontId="27" fillId="0" borderId="0" xfId="0" applyFont="1"/>
    <xf numFmtId="0" fontId="26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171" fontId="8" fillId="7" borderId="0" xfId="0" applyNumberFormat="1" applyFont="1" applyFill="1" applyAlignment="1">
      <alignment horizontal="center"/>
    </xf>
    <xf numFmtId="0" fontId="10" fillId="0" borderId="0" xfId="0" applyFont="1" applyAlignment="1">
      <alignment horizontal="left"/>
    </xf>
    <xf numFmtId="0" fontId="10" fillId="7" borderId="0" xfId="0" applyFont="1" applyFill="1" applyAlignment="1">
      <alignment horizontal="left" indent="2"/>
    </xf>
    <xf numFmtId="0" fontId="0" fillId="0" borderId="0" xfId="0" applyAlignment="1">
      <alignment wrapText="1"/>
    </xf>
    <xf numFmtId="1" fontId="28" fillId="0" borderId="0" xfId="0" applyNumberFormat="1" applyFont="1"/>
    <xf numFmtId="170" fontId="21" fillId="8" borderId="0" xfId="0" applyNumberFormat="1" applyFont="1" applyFill="1" applyAlignment="1">
      <alignment horizontal="right"/>
    </xf>
    <xf numFmtId="170" fontId="11" fillId="9" borderId="0" xfId="0" applyNumberFormat="1" applyFont="1" applyFill="1" applyAlignment="1">
      <alignment horizontal="right"/>
    </xf>
    <xf numFmtId="170" fontId="11" fillId="0" borderId="0" xfId="0" applyNumberFormat="1" applyFont="1" applyAlignment="1">
      <alignment horizontal="right"/>
    </xf>
    <xf numFmtId="0" fontId="22" fillId="10" borderId="0" xfId="0" applyFont="1" applyFill="1" applyAlignment="1">
      <alignment horizontal="left"/>
    </xf>
    <xf numFmtId="0" fontId="22" fillId="11" borderId="0" xfId="0" applyFont="1" applyFill="1" applyAlignment="1">
      <alignment horizontal="left"/>
    </xf>
    <xf numFmtId="0" fontId="21" fillId="8" borderId="0" xfId="0" applyFont="1" applyFill="1" applyAlignment="1">
      <alignment horizontal="left"/>
    </xf>
    <xf numFmtId="170" fontId="22" fillId="0" borderId="0" xfId="0" applyNumberFormat="1" applyFont="1" applyAlignment="1">
      <alignment horizontal="right"/>
    </xf>
    <xf numFmtId="0" fontId="9" fillId="7" borderId="0" xfId="0" applyFont="1" applyFill="1"/>
    <xf numFmtId="0" fontId="8" fillId="7" borderId="0" xfId="0" applyFont="1" applyFill="1"/>
    <xf numFmtId="172" fontId="29" fillId="12" borderId="0" xfId="0" applyNumberFormat="1" applyFont="1" applyFill="1"/>
    <xf numFmtId="0" fontId="0" fillId="0" borderId="0" xfId="0" applyAlignment="1">
      <alignment horizontal="center"/>
    </xf>
    <xf numFmtId="0" fontId="30" fillId="0" borderId="3" xfId="0" applyFont="1" applyBorder="1" applyAlignment="1">
      <alignment horizontal="center" readingOrder="1"/>
    </xf>
    <xf numFmtId="0" fontId="31" fillId="0" borderId="3" xfId="0" applyFont="1" applyBorder="1" applyAlignment="1">
      <alignment horizontal="center" readingOrder="1"/>
    </xf>
    <xf numFmtId="17" fontId="31" fillId="0" borderId="3" xfId="0" applyNumberFormat="1" applyFont="1" applyBorder="1" applyAlignment="1">
      <alignment horizontal="center" readingOrder="1"/>
    </xf>
    <xf numFmtId="173" fontId="30" fillId="0" borderId="3" xfId="0" applyNumberFormat="1" applyFont="1" applyBorder="1" applyAlignment="1">
      <alignment horizontal="center" readingOrder="1"/>
    </xf>
    <xf numFmtId="173" fontId="31" fillId="0" borderId="3" xfId="0" applyNumberFormat="1" applyFont="1" applyBorder="1" applyAlignment="1">
      <alignment horizontal="center" readingOrder="1"/>
    </xf>
    <xf numFmtId="0" fontId="33" fillId="8" borderId="0" xfId="0" applyFont="1" applyFill="1" applyAlignment="1">
      <alignment horizontal="center" vertical="center" wrapText="1"/>
    </xf>
    <xf numFmtId="0" fontId="33" fillId="5" borderId="0" xfId="0" applyFont="1" applyFill="1" applyAlignment="1">
      <alignment horizontal="center" vertical="center" wrapText="1"/>
    </xf>
    <xf numFmtId="170" fontId="34" fillId="11" borderId="0" xfId="0" applyNumberFormat="1" applyFont="1" applyFill="1" applyAlignment="1">
      <alignment horizontal="right"/>
    </xf>
    <xf numFmtId="168" fontId="35" fillId="6" borderId="0" xfId="0" applyNumberFormat="1" applyFont="1" applyFill="1" applyAlignment="1">
      <alignment horizontal="right"/>
    </xf>
    <xf numFmtId="0" fontId="17" fillId="4" borderId="1" xfId="0" applyFont="1" applyFill="1" applyBorder="1"/>
    <xf numFmtId="0" fontId="0" fillId="0" borderId="1" xfId="0" applyBorder="1" applyAlignment="1">
      <alignment horizontal="left" vertical="center" indent="1"/>
    </xf>
    <xf numFmtId="164" fontId="6" fillId="0" borderId="1" xfId="0" applyNumberFormat="1" applyFont="1" applyBorder="1" applyAlignment="1">
      <alignment horizontal="right" vertical="center"/>
    </xf>
    <xf numFmtId="0" fontId="4" fillId="10" borderId="1" xfId="0" applyFont="1" applyFill="1" applyBorder="1"/>
    <xf numFmtId="164" fontId="4" fillId="1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7" fillId="5" borderId="1" xfId="0" applyFont="1" applyFill="1" applyBorder="1"/>
    <xf numFmtId="164" fontId="17" fillId="5" borderId="1" xfId="0" applyNumberFormat="1" applyFont="1" applyFill="1" applyBorder="1" applyAlignment="1">
      <alignment horizontal="right" vertical="center"/>
    </xf>
    <xf numFmtId="0" fontId="36" fillId="0" borderId="1" xfId="0" applyFont="1" applyBorder="1" applyAlignment="1">
      <alignment horizontal="left" vertical="center" indent="1"/>
    </xf>
    <xf numFmtId="164" fontId="37" fillId="0" borderId="1" xfId="0" applyNumberFormat="1" applyFont="1" applyBorder="1" applyAlignment="1">
      <alignment horizontal="right" vertical="center"/>
    </xf>
    <xf numFmtId="0" fontId="36" fillId="0" borderId="0" xfId="0" applyFont="1"/>
    <xf numFmtId="0" fontId="24" fillId="0" borderId="0" xfId="0" applyFont="1" applyAlignment="1">
      <alignment horizontal="center" wrapText="1"/>
    </xf>
    <xf numFmtId="0" fontId="22" fillId="9" borderId="0" xfId="0" applyFont="1" applyFill="1" applyAlignment="1">
      <alignment horizontal="left"/>
    </xf>
    <xf numFmtId="0" fontId="22" fillId="7" borderId="0" xfId="0" applyFont="1" applyFill="1"/>
    <xf numFmtId="0" fontId="32" fillId="2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20" fillId="0" borderId="0" xfId="0" applyFont="1"/>
    <xf numFmtId="17" fontId="18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375623"/>
      <rgbColor rgb="FF800080"/>
      <rgbColor rgb="FF006400"/>
      <rgbColor rgb="FFC0C0C0"/>
      <rgbColor rgb="FF808080"/>
      <rgbColor rgb="FF5B9BD5"/>
      <rgbColor rgb="FF7030A0"/>
      <rgbColor rgb="FFFFF2CC"/>
      <rgbColor rgb="FFEBF5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6600"/>
      <rgbColor rgb="FF606060"/>
      <rgbColor rgb="FF969696"/>
      <rgbColor rgb="FF002060"/>
      <rgbColor rgb="FF339966"/>
      <rgbColor rgb="FF0D1B2A"/>
      <rgbColor rgb="FF1F1F1F"/>
      <rgbColor rgb="FF993300"/>
      <rgbColor rgb="FF993366"/>
      <rgbColor rgb="FF1F4E7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B2:E21"/>
  <sheetViews>
    <sheetView showGridLines="0" zoomScaleNormal="100" workbookViewId="0">
      <selection activeCell="C34" sqref="C34"/>
    </sheetView>
  </sheetViews>
  <sheetFormatPr baseColWidth="10" defaultColWidth="8.6640625" defaultRowHeight="15"/>
  <cols>
    <col min="1" max="1" width="2" customWidth="1"/>
    <col min="2" max="2" width="35" customWidth="1"/>
    <col min="3" max="3" width="25" customWidth="1"/>
  </cols>
  <sheetData>
    <row r="2" spans="2:5" ht="39.75" customHeight="1">
      <c r="B2" s="12" t="s">
        <v>0</v>
      </c>
      <c r="C2" s="12"/>
      <c r="D2" s="12"/>
      <c r="E2" s="12"/>
    </row>
    <row r="3" spans="2:5" ht="24.75" customHeight="1">
      <c r="B3" s="11" t="s">
        <v>1</v>
      </c>
      <c r="C3" s="11"/>
      <c r="D3" s="11"/>
      <c r="E3" s="11"/>
    </row>
    <row r="5" spans="2:5" ht="15" customHeight="1">
      <c r="B5" s="14" t="s">
        <v>2</v>
      </c>
      <c r="C5" s="15" t="s">
        <v>0</v>
      </c>
    </row>
    <row r="6" spans="2:5" ht="15" customHeight="1">
      <c r="B6" s="14" t="s">
        <v>3</v>
      </c>
      <c r="C6" s="15" t="s">
        <v>4</v>
      </c>
    </row>
    <row r="7" spans="2:5" ht="15" customHeight="1">
      <c r="B7" s="14" t="s">
        <v>5</v>
      </c>
      <c r="C7" s="15" t="s">
        <v>6</v>
      </c>
    </row>
    <row r="8" spans="2:5" ht="15" customHeight="1">
      <c r="B8" s="14" t="s">
        <v>7</v>
      </c>
      <c r="C8" s="15" t="s">
        <v>8</v>
      </c>
    </row>
    <row r="9" spans="2:5" ht="15" customHeight="1">
      <c r="B9" s="14" t="s">
        <v>9</v>
      </c>
      <c r="C9" s="15" t="s">
        <v>10</v>
      </c>
    </row>
    <row r="10" spans="2:5" ht="15" customHeight="1">
      <c r="B10" s="14" t="s">
        <v>11</v>
      </c>
      <c r="C10" s="15" t="s">
        <v>12</v>
      </c>
    </row>
    <row r="11" spans="2:5" ht="15" customHeight="1">
      <c r="B11" s="14" t="s">
        <v>13</v>
      </c>
      <c r="C11" s="15" t="s">
        <v>14</v>
      </c>
    </row>
    <row r="13" spans="2:5">
      <c r="B13" s="14" t="s">
        <v>15</v>
      </c>
      <c r="C13" s="16" t="s">
        <v>16</v>
      </c>
    </row>
    <row r="14" spans="2:5" ht="15" customHeight="1"/>
    <row r="16" spans="2:5" ht="15" customHeight="1">
      <c r="B16" s="17" t="s">
        <v>17</v>
      </c>
    </row>
    <row r="17" spans="2:3" ht="15" customHeight="1">
      <c r="B17" s="18" t="s">
        <v>18</v>
      </c>
      <c r="C17" s="19" t="s">
        <v>19</v>
      </c>
    </row>
    <row r="18" spans="2:3" ht="15" customHeight="1">
      <c r="B18" s="20" t="s">
        <v>20</v>
      </c>
      <c r="C18" s="19" t="s">
        <v>21</v>
      </c>
    </row>
    <row r="19" spans="2:3" ht="15" customHeight="1">
      <c r="B19" s="21" t="s">
        <v>22</v>
      </c>
      <c r="C19" s="19" t="s">
        <v>23</v>
      </c>
    </row>
    <row r="20" spans="2:3" ht="15" customHeight="1">
      <c r="B20" s="22" t="s">
        <v>24</v>
      </c>
      <c r="C20" s="19" t="s">
        <v>25</v>
      </c>
    </row>
    <row r="21" spans="2:3" ht="15" customHeight="1">
      <c r="B21" s="23" t="s">
        <v>26</v>
      </c>
      <c r="C21" s="19" t="s">
        <v>27</v>
      </c>
    </row>
  </sheetData>
  <mergeCells count="2">
    <mergeCell ref="B2:E2"/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0"/>
  <sheetViews>
    <sheetView tabSelected="1" topLeftCell="A2" zoomScaleNormal="100" workbookViewId="0">
      <selection activeCell="C21" sqref="C21:E21"/>
    </sheetView>
  </sheetViews>
  <sheetFormatPr baseColWidth="10" defaultColWidth="8.6640625" defaultRowHeight="15"/>
  <cols>
    <col min="1" max="1" width="3" customWidth="1"/>
    <col min="2" max="2" width="42" customWidth="1"/>
    <col min="3" max="5" width="16" customWidth="1"/>
    <col min="6" max="6" width="3" customWidth="1"/>
    <col min="7" max="7" width="45" customWidth="1"/>
  </cols>
  <sheetData>
    <row r="1" spans="2:7" ht="31.5" customHeight="1">
      <c r="B1" s="10" t="s">
        <v>28</v>
      </c>
      <c r="C1" s="10"/>
      <c r="D1" s="10"/>
      <c r="E1" s="10"/>
      <c r="F1" s="10"/>
      <c r="G1" s="10"/>
    </row>
    <row r="2" spans="2:7" ht="15" customHeight="1">
      <c r="B2" s="9" t="s">
        <v>29</v>
      </c>
      <c r="C2" s="9"/>
      <c r="D2" s="9"/>
      <c r="E2" s="9"/>
      <c r="F2" s="9"/>
      <c r="G2" s="9"/>
    </row>
    <row r="4" spans="2:7" ht="15" customHeight="1">
      <c r="B4" s="8" t="s">
        <v>30</v>
      </c>
      <c r="C4" s="8"/>
      <c r="D4" s="8"/>
      <c r="E4" s="8"/>
      <c r="F4" s="8"/>
      <c r="G4" s="8"/>
    </row>
    <row r="5" spans="2:7" ht="15" customHeight="1">
      <c r="B5" s="24" t="s">
        <v>31</v>
      </c>
      <c r="C5" s="24" t="s">
        <v>32</v>
      </c>
      <c r="D5" s="24" t="s">
        <v>33</v>
      </c>
      <c r="E5" s="24" t="s">
        <v>34</v>
      </c>
      <c r="G5" s="24" t="s">
        <v>35</v>
      </c>
    </row>
    <row r="6" spans="2:7" ht="15" customHeight="1">
      <c r="B6" s="25" t="s">
        <v>36</v>
      </c>
      <c r="C6" s="26">
        <f>(-'P&amp;L'!AN8+'P&amp;L'!AN15*-1)/12</f>
        <v>6568.6595000000007</v>
      </c>
      <c r="D6" s="26">
        <f>(-'P&amp;L'!AO8+'P&amp;L'!AO15*-1)/12</f>
        <v>16262.167916666667</v>
      </c>
      <c r="E6" s="26">
        <f>(-'P&amp;L'!AP8+'P&amp;L'!AP15*-1)/12</f>
        <v>26254.73011</v>
      </c>
      <c r="G6" s="27" t="s">
        <v>37</v>
      </c>
    </row>
    <row r="7" spans="2:7" ht="15" customHeight="1">
      <c r="B7" s="25" t="s">
        <v>38</v>
      </c>
      <c r="C7" s="26">
        <f>IF('P&amp;L'!AN17&lt;0,-'P&amp;L'!AN17/12,0)</f>
        <v>5210.0577333333331</v>
      </c>
      <c r="D7" s="26">
        <f>IF('P&amp;L'!AO17&lt;0,-'P&amp;L'!AO17/12,0)</f>
        <v>7199.6415999999999</v>
      </c>
      <c r="E7" s="26">
        <f>IF('P&amp;L'!AP17&lt;0,-'P&amp;L'!AP17/12,0)</f>
        <v>0</v>
      </c>
      <c r="G7" s="27" t="s">
        <v>39</v>
      </c>
    </row>
    <row r="8" spans="2:7" ht="15" customHeight="1">
      <c r="B8" s="25" t="s">
        <v>40</v>
      </c>
      <c r="C8" s="26">
        <f>Cashflow!AN27/12</f>
        <v>13394.108933333335</v>
      </c>
      <c r="D8" s="26">
        <f>Cashflow!AO27/12</f>
        <v>-8118.1093746666675</v>
      </c>
      <c r="E8" s="26">
        <f>Cashflow!AP27/12</f>
        <v>845.47625199999902</v>
      </c>
      <c r="G8" s="27" t="s">
        <v>41</v>
      </c>
    </row>
    <row r="10" spans="2:7" ht="15" customHeight="1">
      <c r="B10" s="8" t="s">
        <v>42</v>
      </c>
      <c r="C10" s="8"/>
      <c r="D10" s="8"/>
      <c r="E10" s="8"/>
      <c r="F10" s="8"/>
      <c r="G10" s="8"/>
    </row>
    <row r="11" spans="2:7" ht="15" customHeight="1">
      <c r="B11" s="24" t="s">
        <v>43</v>
      </c>
      <c r="C11" s="24" t="s">
        <v>44</v>
      </c>
      <c r="D11" s="24" t="s">
        <v>45</v>
      </c>
      <c r="E11" s="24" t="s">
        <v>46</v>
      </c>
      <c r="G11" s="24" t="s">
        <v>35</v>
      </c>
    </row>
    <row r="12" spans="2:7" ht="15" customHeight="1">
      <c r="B12" s="25" t="s">
        <v>47</v>
      </c>
      <c r="C12" s="26">
        <f>Cashflow!C7</f>
        <v>180000</v>
      </c>
      <c r="D12" s="26">
        <f>-'P&amp;L'!AN17/12</f>
        <v>5210.0577333333331</v>
      </c>
      <c r="E12" s="28">
        <f>C12/D12</f>
        <v>34.548561496426672</v>
      </c>
      <c r="G12" s="27" t="s">
        <v>48</v>
      </c>
    </row>
    <row r="13" spans="2:7" ht="15" customHeight="1">
      <c r="B13" s="25" t="s">
        <v>49</v>
      </c>
      <c r="C13" s="26">
        <f>Cashflow!C7+Cashflow!C8</f>
        <v>230000</v>
      </c>
      <c r="D13" s="26">
        <f>-'P&amp;L'!AN17/12</f>
        <v>5210.0577333333331</v>
      </c>
      <c r="E13" s="29">
        <f>C13/D13</f>
        <v>44.145384134322967</v>
      </c>
      <c r="G13" s="27" t="s">
        <v>50</v>
      </c>
    </row>
    <row r="14" spans="2:7" ht="15" customHeight="1">
      <c r="B14" s="25" t="s">
        <v>51</v>
      </c>
      <c r="C14" s="26">
        <f>Cashflow!O29</f>
        <v>160729.30720000001</v>
      </c>
      <c r="D14" s="26">
        <f>-'P&amp;L'!AO17/12</f>
        <v>7199.6415999999999</v>
      </c>
      <c r="E14" s="28">
        <f>C14/D14</f>
        <v>22.324626159168815</v>
      </c>
      <c r="G14" s="27" t="s">
        <v>52</v>
      </c>
    </row>
    <row r="15" spans="2:7" ht="15" customHeight="1">
      <c r="B15" s="25" t="s">
        <v>53</v>
      </c>
      <c r="C15" s="26">
        <f>Cashflow!AA29</f>
        <v>63311.994704000041</v>
      </c>
      <c r="D15" s="26">
        <f>MAX(-'P&amp;L'!AP17/12,0.01)</f>
        <v>0.01</v>
      </c>
      <c r="E15" s="30" t="str">
        <f>IF('P&amp;L'!AP17&gt;=0,"Cash-flow positivo",C15/D15)</f>
        <v>Cash-flow positivo</v>
      </c>
      <c r="G15" s="27" t="s">
        <v>54</v>
      </c>
    </row>
    <row r="17" spans="2:7" ht="15" customHeight="1">
      <c r="B17" s="8" t="s">
        <v>55</v>
      </c>
      <c r="C17" s="8"/>
      <c r="D17" s="8"/>
      <c r="E17" s="8"/>
      <c r="F17" s="8"/>
      <c r="G17" s="8"/>
    </row>
    <row r="18" spans="2:7" ht="15" customHeight="1">
      <c r="B18" s="24" t="s">
        <v>56</v>
      </c>
      <c r="C18" s="7" t="s">
        <v>57</v>
      </c>
      <c r="D18" s="7"/>
      <c r="E18" s="7"/>
      <c r="G18" s="24" t="s">
        <v>58</v>
      </c>
    </row>
    <row r="19" spans="2:7" ht="15" customHeight="1">
      <c r="B19" s="25" t="s">
        <v>59</v>
      </c>
      <c r="C19" s="99">
        <v>46874</v>
      </c>
      <c r="D19" s="6"/>
      <c r="E19" s="6"/>
      <c r="G19" s="27" t="s">
        <v>60</v>
      </c>
    </row>
    <row r="20" spans="2:7" ht="15" customHeight="1">
      <c r="B20" s="25" t="s">
        <v>61</v>
      </c>
      <c r="C20" s="99">
        <v>46874</v>
      </c>
      <c r="D20" s="6"/>
      <c r="E20" s="6"/>
      <c r="G20" s="27" t="s">
        <v>62</v>
      </c>
    </row>
    <row r="21" spans="2:7" ht="15" customHeight="1">
      <c r="B21" s="25" t="s">
        <v>63</v>
      </c>
      <c r="C21" s="5">
        <f>-'P&amp;L'!AA15/'P&amp;L'!AA10</f>
        <v>18211.770556805761</v>
      </c>
      <c r="D21" s="5"/>
      <c r="E21" s="5"/>
      <c r="G21" s="27" t="s">
        <v>64</v>
      </c>
    </row>
    <row r="22" spans="2:7" ht="15" customHeight="1">
      <c r="B22" s="25" t="s">
        <v>65</v>
      </c>
      <c r="C22" s="5">
        <f>-'P&amp;L'!AM15/'P&amp;L'!AM10</f>
        <v>27701.878464115976</v>
      </c>
      <c r="D22" s="5"/>
      <c r="E22" s="5"/>
      <c r="G22" s="27" t="s">
        <v>66</v>
      </c>
    </row>
    <row r="23" spans="2:7" ht="15" customHeight="1">
      <c r="B23" s="25" t="s">
        <v>67</v>
      </c>
      <c r="C23" s="4">
        <f>('P&amp;L'!AA15*-1/'P&amp;L'!AA10)/('MODELO NORMAL'!AA39/'MODELO NORMAL'!AA27)</f>
        <v>125.36481884159521</v>
      </c>
      <c r="D23" s="4"/>
      <c r="E23" s="4"/>
      <c r="G23" s="27" t="s">
        <v>68</v>
      </c>
    </row>
    <row r="25" spans="2:7" ht="15" customHeight="1">
      <c r="B25" s="8" t="s">
        <v>69</v>
      </c>
      <c r="C25" s="8"/>
      <c r="D25" s="8"/>
      <c r="E25" s="8"/>
      <c r="F25" s="8"/>
      <c r="G25" s="8"/>
    </row>
    <row r="26" spans="2:7" ht="15" customHeight="1">
      <c r="B26" s="24" t="s">
        <v>31</v>
      </c>
      <c r="C26" s="7" t="s">
        <v>57</v>
      </c>
      <c r="D26" s="7"/>
      <c r="E26" s="7"/>
      <c r="G26" s="24" t="s">
        <v>70</v>
      </c>
    </row>
    <row r="27" spans="2:7" ht="15" customHeight="1">
      <c r="B27" s="25" t="s">
        <v>71</v>
      </c>
      <c r="C27" s="3">
        <f>MIN(Cashflow!D29:AM29)</f>
        <v>38002.876624000033</v>
      </c>
      <c r="D27" s="3"/>
      <c r="E27" s="3"/>
      <c r="G27" s="27" t="s">
        <v>72</v>
      </c>
    </row>
    <row r="28" spans="2:7" ht="15" customHeight="1">
      <c r="B28" s="25" t="s">
        <v>73</v>
      </c>
      <c r="C28" s="2" t="str">
        <f>INDEX('P&amp;L'!$D$3:$AM$3,MATCH(MIN(Cashflow!D29:AM29),Cashflow!D29:AM29,0))</f>
        <v>Apr 2028</v>
      </c>
      <c r="D28" s="2"/>
      <c r="E28" s="2"/>
      <c r="G28" s="27" t="s">
        <v>74</v>
      </c>
    </row>
    <row r="29" spans="2:7" ht="15" customHeight="1">
      <c r="B29" s="25" t="s">
        <v>75</v>
      </c>
      <c r="C29" s="1">
        <f>Cashflow!C7+Cashflow!C8</f>
        <v>230000</v>
      </c>
      <c r="D29" s="1"/>
      <c r="E29" s="1"/>
      <c r="G29" s="27" t="s">
        <v>76</v>
      </c>
    </row>
    <row r="30" spans="2:7" ht="15" customHeight="1">
      <c r="B30" s="25" t="s">
        <v>77</v>
      </c>
      <c r="C30" s="5">
        <f>'P&amp;L'!AN21+'P&amp;L'!AO21</f>
        <v>-153688.00529600002</v>
      </c>
      <c r="D30" s="5"/>
      <c r="E30" s="5"/>
      <c r="G30" s="27" t="s">
        <v>78</v>
      </c>
    </row>
    <row r="32" spans="2:7" ht="15" customHeight="1">
      <c r="B32" s="8" t="s">
        <v>79</v>
      </c>
      <c r="C32" s="8"/>
      <c r="D32" s="8"/>
      <c r="E32" s="8"/>
      <c r="F32" s="8"/>
      <c r="G32" s="8"/>
    </row>
    <row r="33" spans="2:7" ht="15" customHeight="1">
      <c r="B33" s="24" t="s">
        <v>31</v>
      </c>
      <c r="C33" s="24" t="s">
        <v>32</v>
      </c>
      <c r="D33" s="24" t="s">
        <v>33</v>
      </c>
      <c r="E33" s="24" t="s">
        <v>34</v>
      </c>
      <c r="G33" s="24" t="s">
        <v>35</v>
      </c>
    </row>
    <row r="34" spans="2:7" ht="15" customHeight="1">
      <c r="B34" s="25" t="s">
        <v>80</v>
      </c>
      <c r="C34" s="26">
        <f>'MODELO NORMAL'!O39*12</f>
        <v>41972.688000000002</v>
      </c>
      <c r="D34" s="26">
        <f>'MODELO NORMAL'!AA39*12</f>
        <v>224878.24799999999</v>
      </c>
      <c r="E34" s="26">
        <f>'MODELO NORMAL'!AM39*12</f>
        <v>496529.80800000008</v>
      </c>
      <c r="G34" s="27" t="s">
        <v>81</v>
      </c>
    </row>
    <row r="35" spans="2:7" ht="15" customHeight="1">
      <c r="B35" s="25" t="s">
        <v>82</v>
      </c>
      <c r="C35" s="31">
        <f>'MODELO NORMAL'!O39/'MODELO NORMAL'!O27</f>
        <v>145.73850000000002</v>
      </c>
      <c r="D35" s="31">
        <f>'MODELO NORMAL'!AA39/'MODELO NORMAL'!AA27</f>
        <v>145.27018604651161</v>
      </c>
      <c r="E35" s="31">
        <f>'MODELO NORMAL'!AM39/'MODELO NORMAL'!AM27</f>
        <v>145.69536619718312</v>
      </c>
      <c r="G35" s="27" t="s">
        <v>83</v>
      </c>
    </row>
    <row r="36" spans="2:7" ht="15" customHeight="1">
      <c r="B36" s="25" t="s">
        <v>84</v>
      </c>
      <c r="C36" s="32">
        <f>'P&amp;L'!AN9/'P&amp;L'!AN6</f>
        <v>0.93480343626816531</v>
      </c>
      <c r="D36" s="32">
        <f>'P&amp;L'!AO9/'P&amp;L'!AO6</f>
        <v>0.93322304448885107</v>
      </c>
      <c r="E36" s="32">
        <f>'P&amp;L'!AP9/'P&amp;L'!AP6</f>
        <v>0.93773938866442663</v>
      </c>
      <c r="G36" s="27" t="s">
        <v>85</v>
      </c>
    </row>
    <row r="37" spans="2:7" ht="15" customHeight="1">
      <c r="B37" s="25" t="s">
        <v>86</v>
      </c>
      <c r="C37" s="32">
        <f>'P&amp;L'!AN17/'P&amp;L'!AN6</f>
        <v>-3.8348674800535734</v>
      </c>
      <c r="D37" s="32">
        <f>'P&amp;L'!AO17/'P&amp;L'!AO6</f>
        <v>-0.79444090405114953</v>
      </c>
      <c r="E37" s="32">
        <f>'P&amp;L'!AP17/'P&amp;L'!AP6</f>
        <v>0.12538633324509252</v>
      </c>
      <c r="G37" s="27" t="s">
        <v>87</v>
      </c>
    </row>
    <row r="38" spans="2:7" ht="15" customHeight="1">
      <c r="B38" s="25" t="s">
        <v>88</v>
      </c>
      <c r="C38" s="26">
        <f>'COGS &amp; SG&amp;A'!AN45/SUM('MODELO NORMAL'!D24:O24)</f>
        <v>237.55555555555554</v>
      </c>
      <c r="D38" s="26">
        <f>'COGS &amp; SG&amp;A'!AO45/SUM('MODELO NORMAL'!P24:AA24)</f>
        <v>195.38931297709922</v>
      </c>
      <c r="E38" s="26">
        <f>'COGS &amp; SG&amp;A'!AP45/SUM('MODELO NORMAL'!AB24:AM24)</f>
        <v>256.17154811715483</v>
      </c>
      <c r="G38" s="27" t="s">
        <v>89</v>
      </c>
    </row>
    <row r="39" spans="2:7" ht="15" customHeight="1">
      <c r="B39" s="25" t="s">
        <v>90</v>
      </c>
      <c r="C39" s="26">
        <f>('MODELO NORMAL'!O39/'MODELO NORMAL'!O27)*('P&amp;L'!AN9/'P&amp;L'!AN6)/'MODELO NORMAL'!O8</f>
        <v>2724.73701193136</v>
      </c>
      <c r="D39" s="26">
        <f>('MODELO NORMAL'!AA39/'MODELO NORMAL'!AA27)*('P&amp;L'!AO9/'P&amp;L'!AO6)/'MODELO NORMAL'!AA8</f>
        <v>3389.2371323946845</v>
      </c>
      <c r="E39" s="26">
        <f>('MODELO NORMAL'!AM39/'MODELO NORMAL'!AM27)*('P&amp;L'!AP9/'P&amp;L'!AP6)/'MODELO NORMAL'!AM8</f>
        <v>3903.5509608281786</v>
      </c>
      <c r="G39" s="27" t="s">
        <v>91</v>
      </c>
    </row>
    <row r="40" spans="2:7" ht="15" customHeight="1">
      <c r="B40" s="25" t="s">
        <v>92</v>
      </c>
      <c r="C40" s="33">
        <f>C39/C38</f>
        <v>11.46989387623117</v>
      </c>
      <c r="D40" s="33">
        <f>D39/D38</f>
        <v>17.346072212209084</v>
      </c>
      <c r="E40" s="33">
        <f>E39/E38</f>
        <v>15.238034783796401</v>
      </c>
      <c r="G40" s="27" t="s">
        <v>93</v>
      </c>
    </row>
    <row r="41" spans="2:7" ht="15" customHeight="1">
      <c r="B41" s="25" t="s">
        <v>94</v>
      </c>
      <c r="C41" s="28">
        <f>'COGS &amp; SG&amp;A'!AN45/SUM('MODELO NORMAL'!D24:O24)/('MODELO NORMAL'!O39/'MODELO NORMAL'!O27*'P&amp;L'!AN9/'P&amp;L'!AN6)</f>
        <v>1.7436952962089383</v>
      </c>
      <c r="D41" s="28">
        <f>'COGS &amp; SG&amp;A'!AO45/SUM('MODELO NORMAL'!P24:AA24)/('MODELO NORMAL'!AA39/'MODELO NORMAL'!AA27*'P&amp;L'!AO9/'P&amp;L'!AO6)</f>
        <v>1.4412484679040869</v>
      </c>
      <c r="E41" s="28">
        <f>'COGS &amp; SG&amp;A'!AP45/SUM('MODELO NORMAL'!AB24:AM24)/('MODELO NORMAL'!AM39/'MODELO NORMAL'!AM27*'P&amp;L'!AP9/'P&amp;L'!AP6)</f>
        <v>1.8750074387420634</v>
      </c>
      <c r="G41" s="27" t="s">
        <v>95</v>
      </c>
    </row>
    <row r="43" spans="2:7" ht="15" customHeight="1"/>
    <row r="44" spans="2:7" ht="18" customHeight="1"/>
    <row r="45" spans="2:7" ht="18" customHeight="1"/>
    <row r="46" spans="2:7" ht="18" customHeight="1"/>
    <row r="47" spans="2:7" ht="18" customHeight="1"/>
    <row r="48" spans="2:7" ht="18" customHeight="1"/>
    <row r="49" ht="18" customHeight="1"/>
    <row r="50" ht="18" customHeight="1"/>
  </sheetData>
  <mergeCells count="18">
    <mergeCell ref="C29:E29"/>
    <mergeCell ref="C30:E30"/>
    <mergeCell ref="B32:G32"/>
    <mergeCell ref="C23:E23"/>
    <mergeCell ref="B25:G25"/>
    <mergeCell ref="C26:E26"/>
    <mergeCell ref="C27:E27"/>
    <mergeCell ref="C28:E28"/>
    <mergeCell ref="C18:E18"/>
    <mergeCell ref="C19:E19"/>
    <mergeCell ref="C20:E20"/>
    <mergeCell ref="C21:E21"/>
    <mergeCell ref="C22:E22"/>
    <mergeCell ref="B1:G1"/>
    <mergeCell ref="B2:G2"/>
    <mergeCell ref="B4:G4"/>
    <mergeCell ref="B10:G10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B1:AQ42"/>
  <sheetViews>
    <sheetView showGridLines="0" zoomScaleNormal="100" workbookViewId="0">
      <pane xSplit="3" ySplit="3" topLeftCell="I30" activePane="bottomRight" state="frozen"/>
      <selection pane="topRight" activeCell="D1" sqref="D1"/>
      <selection pane="bottomLeft" activeCell="A4" sqref="A4"/>
      <selection pane="bottomRight" activeCell="B5" sqref="B5:AP5"/>
    </sheetView>
  </sheetViews>
  <sheetFormatPr baseColWidth="10" defaultColWidth="8.6640625" defaultRowHeight="15"/>
  <cols>
    <col min="1" max="1" width="3" customWidth="1"/>
    <col min="2" max="2" width="32" customWidth="1"/>
    <col min="3" max="3" width="12" customWidth="1"/>
    <col min="4" max="39" width="10" customWidth="1"/>
    <col min="40" max="42" width="14" customWidth="1"/>
    <col min="43" max="43" width="36.5" customWidth="1"/>
  </cols>
  <sheetData>
    <row r="1" spans="2:43" ht="24.75" customHeight="1">
      <c r="B1" s="13" t="s">
        <v>96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 spans="2:43" ht="18" customHeight="1">
      <c r="B2" s="34" t="s">
        <v>97</v>
      </c>
      <c r="C2" s="34" t="s">
        <v>98</v>
      </c>
      <c r="D2" s="34" t="s">
        <v>32</v>
      </c>
      <c r="E2" s="34" t="s">
        <v>32</v>
      </c>
      <c r="F2" s="34" t="s">
        <v>32</v>
      </c>
      <c r="G2" s="34" t="s">
        <v>32</v>
      </c>
      <c r="H2" s="34" t="s">
        <v>32</v>
      </c>
      <c r="I2" s="34" t="s">
        <v>32</v>
      </c>
      <c r="J2" s="34" t="s">
        <v>32</v>
      </c>
      <c r="K2" s="34" t="s">
        <v>32</v>
      </c>
      <c r="L2" s="34" t="s">
        <v>32</v>
      </c>
      <c r="M2" s="34" t="s">
        <v>32</v>
      </c>
      <c r="N2" s="34" t="s">
        <v>32</v>
      </c>
      <c r="O2" s="34" t="s">
        <v>32</v>
      </c>
      <c r="P2" s="34" t="s">
        <v>33</v>
      </c>
      <c r="Q2" s="34" t="s">
        <v>33</v>
      </c>
      <c r="R2" s="34" t="s">
        <v>33</v>
      </c>
      <c r="S2" s="34" t="s">
        <v>33</v>
      </c>
      <c r="T2" s="34" t="s">
        <v>33</v>
      </c>
      <c r="U2" s="34" t="s">
        <v>33</v>
      </c>
      <c r="V2" s="34" t="s">
        <v>33</v>
      </c>
      <c r="W2" s="34" t="s">
        <v>33</v>
      </c>
      <c r="X2" s="34" t="s">
        <v>33</v>
      </c>
      <c r="Y2" s="34" t="s">
        <v>33</v>
      </c>
      <c r="Z2" s="34" t="s">
        <v>33</v>
      </c>
      <c r="AA2" s="34" t="s">
        <v>33</v>
      </c>
      <c r="AB2" s="34" t="s">
        <v>34</v>
      </c>
      <c r="AC2" s="34" t="s">
        <v>34</v>
      </c>
      <c r="AD2" s="34" t="s">
        <v>34</v>
      </c>
      <c r="AE2" s="34" t="s">
        <v>34</v>
      </c>
      <c r="AF2" s="34" t="s">
        <v>34</v>
      </c>
      <c r="AG2" s="34" t="s">
        <v>34</v>
      </c>
      <c r="AH2" s="34" t="s">
        <v>34</v>
      </c>
      <c r="AI2" s="34" t="s">
        <v>34</v>
      </c>
      <c r="AJ2" s="34" t="s">
        <v>34</v>
      </c>
      <c r="AK2" s="34" t="s">
        <v>34</v>
      </c>
      <c r="AL2" s="34" t="s">
        <v>34</v>
      </c>
      <c r="AM2" s="34" t="s">
        <v>34</v>
      </c>
      <c r="AN2" s="35" t="s">
        <v>99</v>
      </c>
      <c r="AO2" s="35" t="s">
        <v>100</v>
      </c>
      <c r="AP2" s="35" t="s">
        <v>101</v>
      </c>
    </row>
    <row r="3" spans="2:43" ht="18" customHeight="1">
      <c r="B3" s="36" t="s">
        <v>102</v>
      </c>
      <c r="C3" s="36" t="s">
        <v>103</v>
      </c>
      <c r="D3" s="37" t="s">
        <v>104</v>
      </c>
      <c r="E3" s="37" t="s">
        <v>105</v>
      </c>
      <c r="F3" s="37" t="s">
        <v>106</v>
      </c>
      <c r="G3" s="37" t="s">
        <v>107</v>
      </c>
      <c r="H3" s="37" t="s">
        <v>108</v>
      </c>
      <c r="I3" s="37" t="s">
        <v>109</v>
      </c>
      <c r="J3" s="37" t="s">
        <v>110</v>
      </c>
      <c r="K3" s="37" t="s">
        <v>111</v>
      </c>
      <c r="L3" s="37" t="s">
        <v>112</v>
      </c>
      <c r="M3" s="37" t="s">
        <v>113</v>
      </c>
      <c r="N3" s="37" t="s">
        <v>114</v>
      </c>
      <c r="O3" s="37" t="s">
        <v>115</v>
      </c>
      <c r="P3" s="37" t="s">
        <v>116</v>
      </c>
      <c r="Q3" s="37" t="s">
        <v>117</v>
      </c>
      <c r="R3" s="37" t="s">
        <v>118</v>
      </c>
      <c r="S3" s="37" t="s">
        <v>119</v>
      </c>
      <c r="T3" s="37" t="s">
        <v>120</v>
      </c>
      <c r="U3" s="37" t="s">
        <v>121</v>
      </c>
      <c r="V3" s="37" t="s">
        <v>122</v>
      </c>
      <c r="W3" s="37" t="s">
        <v>123</v>
      </c>
      <c r="X3" s="37" t="s">
        <v>124</v>
      </c>
      <c r="Y3" s="37" t="s">
        <v>125</v>
      </c>
      <c r="Z3" s="37" t="s">
        <v>126</v>
      </c>
      <c r="AA3" s="37" t="s">
        <v>127</v>
      </c>
      <c r="AB3" s="37" t="s">
        <v>128</v>
      </c>
      <c r="AC3" s="37" t="s">
        <v>129</v>
      </c>
      <c r="AD3" s="37" t="s">
        <v>130</v>
      </c>
      <c r="AE3" s="37" t="s">
        <v>131</v>
      </c>
      <c r="AF3" s="37" t="s">
        <v>132</v>
      </c>
      <c r="AG3" s="37" t="s">
        <v>133</v>
      </c>
      <c r="AH3" s="37" t="s">
        <v>134</v>
      </c>
      <c r="AI3" s="37" t="s">
        <v>135</v>
      </c>
      <c r="AJ3" s="37" t="s">
        <v>136</v>
      </c>
      <c r="AK3" s="37" t="s">
        <v>137</v>
      </c>
      <c r="AL3" s="37" t="s">
        <v>138</v>
      </c>
      <c r="AM3" s="37" t="s">
        <v>139</v>
      </c>
      <c r="AN3" s="36" t="s">
        <v>140</v>
      </c>
      <c r="AO3" s="36" t="s">
        <v>141</v>
      </c>
      <c r="AP3" s="36" t="s">
        <v>142</v>
      </c>
    </row>
    <row r="4" spans="2:43" ht="18" customHeight="1">
      <c r="B4" s="36" t="s">
        <v>143</v>
      </c>
      <c r="C4" s="36">
        <v>1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6"/>
      <c r="AO4" s="36"/>
      <c r="AP4" s="36"/>
      <c r="AQ4" s="93" t="s">
        <v>144</v>
      </c>
    </row>
    <row r="5" spans="2:43" ht="15" customHeight="1">
      <c r="B5" s="94" t="s">
        <v>145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3"/>
    </row>
    <row r="6" spans="2:43" ht="15" customHeight="1">
      <c r="B6" s="39" t="s">
        <v>146</v>
      </c>
      <c r="C6" s="39"/>
      <c r="D6" s="40">
        <v>0</v>
      </c>
      <c r="E6" s="40">
        <v>0</v>
      </c>
      <c r="F6" s="40">
        <v>0</v>
      </c>
      <c r="G6" s="40">
        <v>0.15</v>
      </c>
      <c r="H6" s="40">
        <v>0.15</v>
      </c>
      <c r="I6" s="40">
        <v>0.2</v>
      </c>
      <c r="J6" s="40">
        <v>0.2</v>
      </c>
      <c r="K6" s="40">
        <v>0.25</v>
      </c>
      <c r="L6" s="40">
        <v>0.25</v>
      </c>
      <c r="M6" s="40">
        <v>0.3</v>
      </c>
      <c r="N6" s="40">
        <v>0.3</v>
      </c>
      <c r="O6" s="40">
        <v>0.3</v>
      </c>
      <c r="P6" s="40">
        <v>0.15</v>
      </c>
      <c r="Q6" s="40">
        <v>0.15</v>
      </c>
      <c r="R6" s="40">
        <v>0.15</v>
      </c>
      <c r="S6" s="40">
        <v>0.18</v>
      </c>
      <c r="T6" s="40">
        <v>0.18</v>
      </c>
      <c r="U6" s="40">
        <v>0.18</v>
      </c>
      <c r="V6" s="40">
        <v>0.2</v>
      </c>
      <c r="W6" s="40">
        <v>0.2</v>
      </c>
      <c r="X6" s="40">
        <v>0.2</v>
      </c>
      <c r="Y6" s="40">
        <v>0.22</v>
      </c>
      <c r="Z6" s="40">
        <v>0.22</v>
      </c>
      <c r="AA6" s="40">
        <v>0.22</v>
      </c>
      <c r="AB6" s="40">
        <v>0.12</v>
      </c>
      <c r="AC6" s="40">
        <v>0.12</v>
      </c>
      <c r="AD6" s="40">
        <v>0.12</v>
      </c>
      <c r="AE6" s="40">
        <v>0.12</v>
      </c>
      <c r="AF6" s="40">
        <v>0.1</v>
      </c>
      <c r="AG6" s="40">
        <v>0.1</v>
      </c>
      <c r="AH6" s="40">
        <v>0.1</v>
      </c>
      <c r="AI6" s="40">
        <v>0.1</v>
      </c>
      <c r="AJ6" s="40">
        <v>0.1</v>
      </c>
      <c r="AK6" s="40">
        <v>0.1</v>
      </c>
      <c r="AL6" s="40">
        <v>0.08</v>
      </c>
      <c r="AM6" s="40">
        <v>0.08</v>
      </c>
      <c r="AN6" s="38"/>
      <c r="AO6" s="38"/>
      <c r="AP6" s="38"/>
      <c r="AQ6" s="93"/>
    </row>
    <row r="7" spans="2:43" ht="15" customHeight="1">
      <c r="B7" s="39" t="s">
        <v>147</v>
      </c>
      <c r="C7" s="41"/>
      <c r="D7" s="40">
        <f t="shared" ref="D7:AM7" si="0">D6*$C$4</f>
        <v>0</v>
      </c>
      <c r="E7" s="40">
        <f t="shared" si="0"/>
        <v>0</v>
      </c>
      <c r="F7" s="40">
        <f t="shared" si="0"/>
        <v>0</v>
      </c>
      <c r="G7" s="40">
        <f t="shared" si="0"/>
        <v>0.15</v>
      </c>
      <c r="H7" s="40">
        <f t="shared" si="0"/>
        <v>0.15</v>
      </c>
      <c r="I7" s="40">
        <f t="shared" si="0"/>
        <v>0.2</v>
      </c>
      <c r="J7" s="40">
        <f t="shared" si="0"/>
        <v>0.2</v>
      </c>
      <c r="K7" s="40">
        <f t="shared" si="0"/>
        <v>0.25</v>
      </c>
      <c r="L7" s="40">
        <f t="shared" si="0"/>
        <v>0.25</v>
      </c>
      <c r="M7" s="40">
        <f t="shared" si="0"/>
        <v>0.3</v>
      </c>
      <c r="N7" s="40">
        <f t="shared" si="0"/>
        <v>0.3</v>
      </c>
      <c r="O7" s="40">
        <f t="shared" si="0"/>
        <v>0.3</v>
      </c>
      <c r="P7" s="40">
        <f t="shared" si="0"/>
        <v>0.15</v>
      </c>
      <c r="Q7" s="40">
        <f t="shared" si="0"/>
        <v>0.15</v>
      </c>
      <c r="R7" s="40">
        <f t="shared" si="0"/>
        <v>0.15</v>
      </c>
      <c r="S7" s="40">
        <f t="shared" si="0"/>
        <v>0.18</v>
      </c>
      <c r="T7" s="40">
        <f t="shared" si="0"/>
        <v>0.18</v>
      </c>
      <c r="U7" s="40">
        <f t="shared" si="0"/>
        <v>0.18</v>
      </c>
      <c r="V7" s="40">
        <f t="shared" si="0"/>
        <v>0.2</v>
      </c>
      <c r="W7" s="40">
        <f t="shared" si="0"/>
        <v>0.2</v>
      </c>
      <c r="X7" s="40">
        <f t="shared" si="0"/>
        <v>0.2</v>
      </c>
      <c r="Y7" s="40">
        <f t="shared" si="0"/>
        <v>0.22</v>
      </c>
      <c r="Z7" s="40">
        <f t="shared" si="0"/>
        <v>0.22</v>
      </c>
      <c r="AA7" s="40">
        <f t="shared" si="0"/>
        <v>0.22</v>
      </c>
      <c r="AB7" s="40">
        <f t="shared" si="0"/>
        <v>0.12</v>
      </c>
      <c r="AC7" s="40">
        <f t="shared" si="0"/>
        <v>0.12</v>
      </c>
      <c r="AD7" s="40">
        <f t="shared" si="0"/>
        <v>0.12</v>
      </c>
      <c r="AE7" s="40">
        <f t="shared" si="0"/>
        <v>0.12</v>
      </c>
      <c r="AF7" s="40">
        <f t="shared" si="0"/>
        <v>0.1</v>
      </c>
      <c r="AG7" s="40">
        <f t="shared" si="0"/>
        <v>0.1</v>
      </c>
      <c r="AH7" s="40">
        <f t="shared" si="0"/>
        <v>0.1</v>
      </c>
      <c r="AI7" s="40">
        <f t="shared" si="0"/>
        <v>0.1</v>
      </c>
      <c r="AJ7" s="40">
        <f t="shared" si="0"/>
        <v>0.1</v>
      </c>
      <c r="AK7" s="40">
        <f t="shared" si="0"/>
        <v>0.1</v>
      </c>
      <c r="AL7" s="40">
        <f t="shared" si="0"/>
        <v>0.08</v>
      </c>
      <c r="AM7" s="40">
        <f t="shared" si="0"/>
        <v>0.08</v>
      </c>
      <c r="AQ7" s="93"/>
    </row>
    <row r="8" spans="2:43" ht="15" customHeight="1">
      <c r="B8" s="39" t="s">
        <v>148</v>
      </c>
      <c r="C8" s="41"/>
      <c r="D8" s="40">
        <v>0.05</v>
      </c>
      <c r="E8" s="40">
        <v>0.05</v>
      </c>
      <c r="F8" s="40">
        <v>0.05</v>
      </c>
      <c r="G8" s="40">
        <v>0.05</v>
      </c>
      <c r="H8" s="40">
        <v>0.05</v>
      </c>
      <c r="I8" s="40">
        <v>0.05</v>
      </c>
      <c r="J8" s="40">
        <v>0.05</v>
      </c>
      <c r="K8" s="40">
        <v>0.05</v>
      </c>
      <c r="L8" s="40">
        <v>0.05</v>
      </c>
      <c r="M8" s="40">
        <v>0.05</v>
      </c>
      <c r="N8" s="40">
        <v>0.05</v>
      </c>
      <c r="O8" s="40">
        <v>0.05</v>
      </c>
      <c r="P8" s="40">
        <v>0.04</v>
      </c>
      <c r="Q8" s="40">
        <v>0.04</v>
      </c>
      <c r="R8" s="40">
        <v>0.04</v>
      </c>
      <c r="S8" s="40">
        <v>0.04</v>
      </c>
      <c r="T8" s="40">
        <v>0.04</v>
      </c>
      <c r="U8" s="40">
        <v>0.04</v>
      </c>
      <c r="V8" s="40">
        <v>0.04</v>
      </c>
      <c r="W8" s="40">
        <v>0.04</v>
      </c>
      <c r="X8" s="40">
        <v>0.04</v>
      </c>
      <c r="Y8" s="40">
        <v>0.04</v>
      </c>
      <c r="Z8" s="40">
        <v>0.04</v>
      </c>
      <c r="AA8" s="40">
        <v>0.04</v>
      </c>
      <c r="AB8" s="40">
        <v>3.5000000000000003E-2</v>
      </c>
      <c r="AC8" s="40">
        <v>3.5000000000000003E-2</v>
      </c>
      <c r="AD8" s="40">
        <v>3.5000000000000003E-2</v>
      </c>
      <c r="AE8" s="40">
        <v>3.5000000000000003E-2</v>
      </c>
      <c r="AF8" s="40">
        <v>3.5000000000000003E-2</v>
      </c>
      <c r="AG8" s="40">
        <v>3.5000000000000003E-2</v>
      </c>
      <c r="AH8" s="40">
        <v>3.5000000000000003E-2</v>
      </c>
      <c r="AI8" s="40">
        <v>3.5000000000000003E-2</v>
      </c>
      <c r="AJ8" s="40">
        <v>3.5000000000000003E-2</v>
      </c>
      <c r="AK8" s="40">
        <v>3.5000000000000003E-2</v>
      </c>
      <c r="AL8" s="40">
        <v>3.5000000000000003E-2</v>
      </c>
      <c r="AM8" s="40">
        <v>3.5000000000000003E-2</v>
      </c>
      <c r="AQ8" s="93"/>
    </row>
    <row r="9" spans="2:43" ht="15" customHeight="1">
      <c r="B9" s="39" t="s">
        <v>149</v>
      </c>
      <c r="C9" s="41" t="s">
        <v>150</v>
      </c>
      <c r="D9" s="42">
        <v>49</v>
      </c>
      <c r="E9" s="42">
        <v>49</v>
      </c>
      <c r="F9" s="42">
        <v>49</v>
      </c>
      <c r="G9" s="42">
        <v>49</v>
      </c>
      <c r="H9" s="42">
        <v>49</v>
      </c>
      <c r="I9" s="42">
        <v>49</v>
      </c>
      <c r="J9" s="42">
        <v>49</v>
      </c>
      <c r="K9" s="42">
        <v>49</v>
      </c>
      <c r="L9" s="42">
        <v>49</v>
      </c>
      <c r="M9" s="42">
        <v>49</v>
      </c>
      <c r="N9" s="42">
        <v>49</v>
      </c>
      <c r="O9" s="42">
        <v>49</v>
      </c>
      <c r="P9" s="42">
        <v>49</v>
      </c>
      <c r="Q9" s="42">
        <v>49</v>
      </c>
      <c r="R9" s="42">
        <v>49</v>
      </c>
      <c r="S9" s="42">
        <v>49</v>
      </c>
      <c r="T9" s="42">
        <v>49</v>
      </c>
      <c r="U9" s="42">
        <v>49</v>
      </c>
      <c r="V9" s="42">
        <v>49</v>
      </c>
      <c r="W9" s="42">
        <v>49</v>
      </c>
      <c r="X9" s="42">
        <v>49</v>
      </c>
      <c r="Y9" s="42">
        <v>49</v>
      </c>
      <c r="Z9" s="42">
        <v>49</v>
      </c>
      <c r="AA9" s="42">
        <v>49</v>
      </c>
      <c r="AB9" s="42">
        <v>49</v>
      </c>
      <c r="AC9" s="42">
        <v>49</v>
      </c>
      <c r="AD9" s="42">
        <v>49</v>
      </c>
      <c r="AE9" s="42">
        <v>49</v>
      </c>
      <c r="AF9" s="42">
        <v>49</v>
      </c>
      <c r="AG9" s="42">
        <v>49</v>
      </c>
      <c r="AH9" s="42">
        <v>49</v>
      </c>
      <c r="AI9" s="42">
        <v>49</v>
      </c>
      <c r="AJ9" s="42">
        <v>49</v>
      </c>
      <c r="AK9" s="42">
        <v>49</v>
      </c>
      <c r="AL9" s="42">
        <v>49</v>
      </c>
      <c r="AM9" s="42">
        <v>49</v>
      </c>
      <c r="AQ9" s="93"/>
    </row>
    <row r="10" spans="2:43" ht="15" customHeight="1">
      <c r="B10" s="39" t="s">
        <v>151</v>
      </c>
      <c r="C10" s="41" t="s">
        <v>152</v>
      </c>
      <c r="D10" s="42">
        <v>199</v>
      </c>
      <c r="E10" s="42">
        <v>199</v>
      </c>
      <c r="F10" s="42">
        <v>199</v>
      </c>
      <c r="G10" s="42">
        <v>199</v>
      </c>
      <c r="H10" s="42">
        <v>199</v>
      </c>
      <c r="I10" s="42">
        <v>199</v>
      </c>
      <c r="J10" s="42">
        <v>199</v>
      </c>
      <c r="K10" s="42">
        <v>199</v>
      </c>
      <c r="L10" s="42">
        <v>199</v>
      </c>
      <c r="M10" s="42">
        <v>199</v>
      </c>
      <c r="N10" s="42">
        <v>199</v>
      </c>
      <c r="O10" s="42">
        <v>199</v>
      </c>
      <c r="P10" s="42">
        <v>199</v>
      </c>
      <c r="Q10" s="42">
        <v>199</v>
      </c>
      <c r="R10" s="42">
        <v>199</v>
      </c>
      <c r="S10" s="42">
        <v>199</v>
      </c>
      <c r="T10" s="42">
        <v>199</v>
      </c>
      <c r="U10" s="42">
        <v>199</v>
      </c>
      <c r="V10" s="42">
        <v>199</v>
      </c>
      <c r="W10" s="42">
        <v>199</v>
      </c>
      <c r="X10" s="42">
        <v>199</v>
      </c>
      <c r="Y10" s="42">
        <v>199</v>
      </c>
      <c r="Z10" s="42">
        <v>199</v>
      </c>
      <c r="AA10" s="42">
        <v>199</v>
      </c>
      <c r="AB10" s="42">
        <v>199</v>
      </c>
      <c r="AC10" s="42">
        <v>199</v>
      </c>
      <c r="AD10" s="42">
        <v>199</v>
      </c>
      <c r="AE10" s="42">
        <v>199</v>
      </c>
      <c r="AF10" s="42">
        <v>199</v>
      </c>
      <c r="AG10" s="42">
        <v>199</v>
      </c>
      <c r="AH10" s="42">
        <v>199</v>
      </c>
      <c r="AI10" s="42">
        <v>199</v>
      </c>
      <c r="AJ10" s="42">
        <v>199</v>
      </c>
      <c r="AK10" s="42">
        <v>199</v>
      </c>
      <c r="AL10" s="42">
        <v>199</v>
      </c>
      <c r="AM10" s="42">
        <v>199</v>
      </c>
      <c r="AQ10" s="93"/>
    </row>
    <row r="11" spans="2:43" ht="15" customHeight="1">
      <c r="B11" s="39" t="s">
        <v>153</v>
      </c>
      <c r="C11" s="41" t="s">
        <v>152</v>
      </c>
      <c r="D11" s="42">
        <v>299</v>
      </c>
      <c r="E11" s="42">
        <v>299</v>
      </c>
      <c r="F11" s="42">
        <v>299</v>
      </c>
      <c r="G11" s="42">
        <v>299</v>
      </c>
      <c r="H11" s="42">
        <v>299</v>
      </c>
      <c r="I11" s="42">
        <v>299</v>
      </c>
      <c r="J11" s="42">
        <v>299</v>
      </c>
      <c r="K11" s="42">
        <v>299</v>
      </c>
      <c r="L11" s="42">
        <v>299</v>
      </c>
      <c r="M11" s="42">
        <v>299</v>
      </c>
      <c r="N11" s="42">
        <v>299</v>
      </c>
      <c r="O11" s="42">
        <v>299</v>
      </c>
      <c r="P11" s="42">
        <v>299</v>
      </c>
      <c r="Q11" s="42">
        <v>299</v>
      </c>
      <c r="R11" s="42">
        <v>299</v>
      </c>
      <c r="S11" s="42">
        <v>299</v>
      </c>
      <c r="T11" s="42">
        <v>299</v>
      </c>
      <c r="U11" s="42">
        <v>299</v>
      </c>
      <c r="V11" s="42">
        <v>299</v>
      </c>
      <c r="W11" s="42">
        <v>299</v>
      </c>
      <c r="X11" s="42">
        <v>299</v>
      </c>
      <c r="Y11" s="42">
        <v>299</v>
      </c>
      <c r="Z11" s="42">
        <v>299</v>
      </c>
      <c r="AA11" s="42">
        <v>299</v>
      </c>
      <c r="AB11" s="42">
        <v>299</v>
      </c>
      <c r="AC11" s="42">
        <v>299</v>
      </c>
      <c r="AD11" s="42">
        <v>299</v>
      </c>
      <c r="AE11" s="42">
        <v>299</v>
      </c>
      <c r="AF11" s="42">
        <v>299</v>
      </c>
      <c r="AG11" s="42">
        <v>299</v>
      </c>
      <c r="AH11" s="42">
        <v>299</v>
      </c>
      <c r="AI11" s="42">
        <v>299</v>
      </c>
      <c r="AJ11" s="42">
        <v>299</v>
      </c>
      <c r="AK11" s="42">
        <v>299</v>
      </c>
      <c r="AL11" s="42">
        <v>299</v>
      </c>
      <c r="AM11" s="42">
        <v>299</v>
      </c>
    </row>
    <row r="12" spans="2:43" ht="15" customHeight="1">
      <c r="B12" s="39" t="s">
        <v>154</v>
      </c>
      <c r="C12" s="41" t="s">
        <v>152</v>
      </c>
      <c r="D12" s="42">
        <v>499</v>
      </c>
      <c r="E12" s="42">
        <v>499</v>
      </c>
      <c r="F12" s="42">
        <v>499</v>
      </c>
      <c r="G12" s="42">
        <v>499</v>
      </c>
      <c r="H12" s="42">
        <v>499</v>
      </c>
      <c r="I12" s="42">
        <v>499</v>
      </c>
      <c r="J12" s="42">
        <v>499</v>
      </c>
      <c r="K12" s="42">
        <v>499</v>
      </c>
      <c r="L12" s="42">
        <v>499</v>
      </c>
      <c r="M12" s="42">
        <v>499</v>
      </c>
      <c r="N12" s="42">
        <v>499</v>
      </c>
      <c r="O12" s="42">
        <v>499</v>
      </c>
      <c r="P12" s="42">
        <v>499</v>
      </c>
      <c r="Q12" s="42">
        <v>499</v>
      </c>
      <c r="R12" s="42">
        <v>499</v>
      </c>
      <c r="S12" s="42">
        <v>499</v>
      </c>
      <c r="T12" s="42">
        <v>499</v>
      </c>
      <c r="U12" s="42">
        <v>499</v>
      </c>
      <c r="V12" s="42">
        <v>499</v>
      </c>
      <c r="W12" s="42">
        <v>499</v>
      </c>
      <c r="X12" s="42">
        <v>499</v>
      </c>
      <c r="Y12" s="42">
        <v>499</v>
      </c>
      <c r="Z12" s="42">
        <v>499</v>
      </c>
      <c r="AA12" s="42">
        <v>499</v>
      </c>
      <c r="AB12" s="42">
        <v>499</v>
      </c>
      <c r="AC12" s="42">
        <v>499</v>
      </c>
      <c r="AD12" s="42">
        <v>499</v>
      </c>
      <c r="AE12" s="42">
        <v>499</v>
      </c>
      <c r="AF12" s="42">
        <v>499</v>
      </c>
      <c r="AG12" s="42">
        <v>499</v>
      </c>
      <c r="AH12" s="42">
        <v>499</v>
      </c>
      <c r="AI12" s="42">
        <v>499</v>
      </c>
      <c r="AJ12" s="42">
        <v>499</v>
      </c>
      <c r="AK12" s="42">
        <v>499</v>
      </c>
      <c r="AL12" s="42">
        <v>499</v>
      </c>
      <c r="AM12" s="42">
        <v>499</v>
      </c>
    </row>
    <row r="13" spans="2:43" ht="15" customHeight="1">
      <c r="B13" s="39" t="s">
        <v>155</v>
      </c>
      <c r="C13" s="41" t="s">
        <v>156</v>
      </c>
      <c r="D13" s="42">
        <v>5</v>
      </c>
      <c r="E13" s="42">
        <v>5</v>
      </c>
      <c r="F13" s="42">
        <v>5</v>
      </c>
      <c r="G13" s="42">
        <v>5</v>
      </c>
      <c r="H13" s="42">
        <v>5</v>
      </c>
      <c r="I13" s="42">
        <v>5</v>
      </c>
      <c r="J13" s="42">
        <v>5</v>
      </c>
      <c r="K13" s="42">
        <v>5</v>
      </c>
      <c r="L13" s="42">
        <v>5</v>
      </c>
      <c r="M13" s="42">
        <v>5</v>
      </c>
      <c r="N13" s="42">
        <v>5</v>
      </c>
      <c r="O13" s="42">
        <v>5</v>
      </c>
      <c r="P13" s="42">
        <v>5</v>
      </c>
      <c r="Q13" s="42">
        <v>5</v>
      </c>
      <c r="R13" s="42">
        <v>5</v>
      </c>
      <c r="S13" s="42">
        <v>5</v>
      </c>
      <c r="T13" s="42">
        <v>5</v>
      </c>
      <c r="U13" s="42">
        <v>5</v>
      </c>
      <c r="V13" s="42">
        <v>5</v>
      </c>
      <c r="W13" s="42">
        <v>5</v>
      </c>
      <c r="X13" s="42">
        <v>5</v>
      </c>
      <c r="Y13" s="42">
        <v>5</v>
      </c>
      <c r="Z13" s="42">
        <v>5</v>
      </c>
      <c r="AA13" s="42">
        <v>5</v>
      </c>
      <c r="AB13" s="42">
        <v>5</v>
      </c>
      <c r="AC13" s="42">
        <v>5</v>
      </c>
      <c r="AD13" s="42">
        <v>5</v>
      </c>
      <c r="AE13" s="42">
        <v>5</v>
      </c>
      <c r="AF13" s="42">
        <v>5</v>
      </c>
      <c r="AG13" s="42">
        <v>5</v>
      </c>
      <c r="AH13" s="42">
        <v>5</v>
      </c>
      <c r="AI13" s="42">
        <v>5</v>
      </c>
      <c r="AJ13" s="42">
        <v>5</v>
      </c>
      <c r="AK13" s="42">
        <v>5</v>
      </c>
      <c r="AL13" s="42">
        <v>5</v>
      </c>
      <c r="AM13" s="42">
        <v>5</v>
      </c>
    </row>
    <row r="14" spans="2:43" ht="15" customHeight="1">
      <c r="B14" s="39" t="s">
        <v>157</v>
      </c>
      <c r="C14" s="41"/>
      <c r="D14" s="40">
        <v>0.02</v>
      </c>
      <c r="E14" s="40">
        <v>0.02</v>
      </c>
      <c r="F14" s="40">
        <v>0.02</v>
      </c>
      <c r="G14" s="40">
        <v>0.02</v>
      </c>
      <c r="H14" s="40">
        <v>0.02</v>
      </c>
      <c r="I14" s="40">
        <v>0.02</v>
      </c>
      <c r="J14" s="40">
        <v>0.02</v>
      </c>
      <c r="K14" s="40">
        <v>0.02</v>
      </c>
      <c r="L14" s="40">
        <v>0.02</v>
      </c>
      <c r="M14" s="40">
        <v>0.02</v>
      </c>
      <c r="N14" s="40">
        <v>0.02</v>
      </c>
      <c r="O14" s="40">
        <v>0.02</v>
      </c>
      <c r="P14" s="40">
        <v>0.02</v>
      </c>
      <c r="Q14" s="40">
        <v>0.02</v>
      </c>
      <c r="R14" s="40">
        <v>0.02</v>
      </c>
      <c r="S14" s="40">
        <v>0.02</v>
      </c>
      <c r="T14" s="40">
        <v>0.02</v>
      </c>
      <c r="U14" s="40">
        <v>0.02</v>
      </c>
      <c r="V14" s="40">
        <v>0.02</v>
      </c>
      <c r="W14" s="40">
        <v>0.02</v>
      </c>
      <c r="X14" s="40">
        <v>0.02</v>
      </c>
      <c r="Y14" s="40">
        <v>0.02</v>
      </c>
      <c r="Z14" s="40">
        <v>0.02</v>
      </c>
      <c r="AA14" s="40">
        <v>0.02</v>
      </c>
      <c r="AB14" s="40">
        <v>0.02</v>
      </c>
      <c r="AC14" s="40">
        <v>0.02</v>
      </c>
      <c r="AD14" s="40">
        <v>0.02</v>
      </c>
      <c r="AE14" s="40">
        <v>0.02</v>
      </c>
      <c r="AF14" s="40">
        <v>0.02</v>
      </c>
      <c r="AG14" s="40">
        <v>0.02</v>
      </c>
      <c r="AH14" s="40">
        <v>0.02</v>
      </c>
      <c r="AI14" s="40">
        <v>0.02</v>
      </c>
      <c r="AJ14" s="40">
        <v>0.02</v>
      </c>
      <c r="AK14" s="40">
        <v>0.02</v>
      </c>
      <c r="AL14" s="40">
        <v>0.02</v>
      </c>
      <c r="AM14" s="40">
        <v>0.02</v>
      </c>
    </row>
    <row r="15" spans="2:43" ht="15" customHeight="1">
      <c r="B15" s="39" t="s">
        <v>158</v>
      </c>
      <c r="C15" s="41"/>
      <c r="D15" s="40">
        <f>'MODELO NORMAL'!G56</f>
        <v>0</v>
      </c>
      <c r="E15" s="40">
        <v>0.3</v>
      </c>
      <c r="F15" s="40">
        <v>0.3</v>
      </c>
      <c r="G15" s="40">
        <v>0.5</v>
      </c>
      <c r="H15" s="40">
        <v>0.5</v>
      </c>
      <c r="I15" s="40">
        <v>0.4</v>
      </c>
      <c r="J15" s="40">
        <v>0.35</v>
      </c>
      <c r="K15" s="40">
        <v>0.3</v>
      </c>
      <c r="L15" s="40">
        <v>0.25</v>
      </c>
      <c r="M15" s="40">
        <v>0.2</v>
      </c>
      <c r="N15" s="40">
        <v>0.2</v>
      </c>
      <c r="O15" s="40">
        <v>0.15</v>
      </c>
      <c r="P15" s="40">
        <v>0.15</v>
      </c>
      <c r="Q15" s="40">
        <v>0.15</v>
      </c>
      <c r="R15" s="40">
        <v>0.15</v>
      </c>
      <c r="S15" s="40">
        <v>0.2</v>
      </c>
      <c r="T15" s="40">
        <v>0.2</v>
      </c>
      <c r="U15" s="40">
        <v>0.15</v>
      </c>
      <c r="V15" s="40">
        <v>0.15</v>
      </c>
      <c r="W15" s="40">
        <v>0.12</v>
      </c>
      <c r="X15" s="40">
        <v>0.12</v>
      </c>
      <c r="Y15" s="40">
        <v>0.1</v>
      </c>
      <c r="Z15" s="40">
        <v>0.1</v>
      </c>
      <c r="AA15" s="40">
        <v>0.1</v>
      </c>
      <c r="AB15" s="40">
        <v>0.1</v>
      </c>
      <c r="AC15" s="40">
        <v>0.1</v>
      </c>
      <c r="AD15" s="40">
        <v>0.08</v>
      </c>
      <c r="AE15" s="40">
        <v>0.08</v>
      </c>
      <c r="AF15" s="40">
        <v>0.08</v>
      </c>
      <c r="AG15" s="40">
        <v>0.08</v>
      </c>
      <c r="AH15" s="40">
        <v>7.0000000000000007E-2</v>
      </c>
      <c r="AI15" s="40">
        <v>7.0000000000000007E-2</v>
      </c>
      <c r="AJ15" s="40">
        <v>7.0000000000000007E-2</v>
      </c>
      <c r="AK15" s="40">
        <v>7.0000000000000007E-2</v>
      </c>
      <c r="AL15" s="40">
        <v>0.06</v>
      </c>
      <c r="AM15" s="40">
        <v>0.06</v>
      </c>
    </row>
    <row r="16" spans="2:43" ht="15" customHeight="1">
      <c r="B16" s="39" t="s">
        <v>159</v>
      </c>
      <c r="C16" s="41"/>
      <c r="D16" s="40">
        <f t="shared" ref="D16:AM16" si="1">D15*$C$4</f>
        <v>0</v>
      </c>
      <c r="E16" s="40">
        <f t="shared" si="1"/>
        <v>0.3</v>
      </c>
      <c r="F16" s="40">
        <f t="shared" si="1"/>
        <v>0.3</v>
      </c>
      <c r="G16" s="40">
        <f t="shared" si="1"/>
        <v>0.5</v>
      </c>
      <c r="H16" s="40">
        <f t="shared" si="1"/>
        <v>0.5</v>
      </c>
      <c r="I16" s="40">
        <f t="shared" si="1"/>
        <v>0.4</v>
      </c>
      <c r="J16" s="40">
        <f t="shared" si="1"/>
        <v>0.35</v>
      </c>
      <c r="K16" s="40">
        <f t="shared" si="1"/>
        <v>0.3</v>
      </c>
      <c r="L16" s="40">
        <f t="shared" si="1"/>
        <v>0.25</v>
      </c>
      <c r="M16" s="40">
        <f t="shared" si="1"/>
        <v>0.2</v>
      </c>
      <c r="N16" s="40">
        <f t="shared" si="1"/>
        <v>0.2</v>
      </c>
      <c r="O16" s="40">
        <f t="shared" si="1"/>
        <v>0.15</v>
      </c>
      <c r="P16" s="40">
        <f t="shared" si="1"/>
        <v>0.15</v>
      </c>
      <c r="Q16" s="40">
        <f t="shared" si="1"/>
        <v>0.15</v>
      </c>
      <c r="R16" s="40">
        <f t="shared" si="1"/>
        <v>0.15</v>
      </c>
      <c r="S16" s="40">
        <f t="shared" si="1"/>
        <v>0.2</v>
      </c>
      <c r="T16" s="40">
        <f t="shared" si="1"/>
        <v>0.2</v>
      </c>
      <c r="U16" s="40">
        <f t="shared" si="1"/>
        <v>0.15</v>
      </c>
      <c r="V16" s="40">
        <f t="shared" si="1"/>
        <v>0.15</v>
      </c>
      <c r="W16" s="40">
        <f t="shared" si="1"/>
        <v>0.12</v>
      </c>
      <c r="X16" s="40">
        <f t="shared" si="1"/>
        <v>0.12</v>
      </c>
      <c r="Y16" s="40">
        <f t="shared" si="1"/>
        <v>0.1</v>
      </c>
      <c r="Z16" s="40">
        <f t="shared" si="1"/>
        <v>0.1</v>
      </c>
      <c r="AA16" s="40">
        <f t="shared" si="1"/>
        <v>0.1</v>
      </c>
      <c r="AB16" s="40">
        <f t="shared" si="1"/>
        <v>0.1</v>
      </c>
      <c r="AC16" s="40">
        <f t="shared" si="1"/>
        <v>0.1</v>
      </c>
      <c r="AD16" s="40">
        <f t="shared" si="1"/>
        <v>0.08</v>
      </c>
      <c r="AE16" s="40">
        <f t="shared" si="1"/>
        <v>0.08</v>
      </c>
      <c r="AF16" s="40">
        <f t="shared" si="1"/>
        <v>0.08</v>
      </c>
      <c r="AG16" s="40">
        <f t="shared" si="1"/>
        <v>0.08</v>
      </c>
      <c r="AH16" s="40">
        <f t="shared" si="1"/>
        <v>7.0000000000000007E-2</v>
      </c>
      <c r="AI16" s="40">
        <f t="shared" si="1"/>
        <v>7.0000000000000007E-2</v>
      </c>
      <c r="AJ16" s="40">
        <f t="shared" si="1"/>
        <v>7.0000000000000007E-2</v>
      </c>
      <c r="AK16" s="40">
        <f t="shared" si="1"/>
        <v>7.0000000000000007E-2</v>
      </c>
      <c r="AL16" s="40">
        <f t="shared" si="1"/>
        <v>0.06</v>
      </c>
      <c r="AM16" s="40">
        <f t="shared" si="1"/>
        <v>0.06</v>
      </c>
    </row>
    <row r="17" spans="2:42" ht="15" customHeight="1">
      <c r="B17" s="39" t="s">
        <v>160</v>
      </c>
      <c r="C17" s="41"/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0.03</v>
      </c>
      <c r="L17" s="40">
        <v>0.03</v>
      </c>
      <c r="M17" s="40">
        <v>0.03</v>
      </c>
      <c r="N17" s="40">
        <v>0.03</v>
      </c>
      <c r="O17" s="40">
        <v>0.03</v>
      </c>
      <c r="P17" s="40">
        <v>0.03</v>
      </c>
      <c r="Q17" s="40">
        <v>0.03</v>
      </c>
      <c r="R17" s="40">
        <v>0.03</v>
      </c>
      <c r="S17" s="40">
        <v>0.03</v>
      </c>
      <c r="T17" s="40">
        <v>0.03</v>
      </c>
      <c r="U17" s="40">
        <v>0.03</v>
      </c>
      <c r="V17" s="40">
        <v>0.03</v>
      </c>
      <c r="W17" s="40">
        <v>0.03</v>
      </c>
      <c r="X17" s="40">
        <v>0.03</v>
      </c>
      <c r="Y17" s="40">
        <v>0.03</v>
      </c>
      <c r="Z17" s="40">
        <v>0.03</v>
      </c>
      <c r="AA17" s="40">
        <v>0.03</v>
      </c>
      <c r="AB17" s="40">
        <v>0.03</v>
      </c>
      <c r="AC17" s="40">
        <v>0.03</v>
      </c>
      <c r="AD17" s="40">
        <v>0.03</v>
      </c>
      <c r="AE17" s="40">
        <v>0.03</v>
      </c>
      <c r="AF17" s="40">
        <v>0.03</v>
      </c>
      <c r="AG17" s="40">
        <v>0.03</v>
      </c>
      <c r="AH17" s="40">
        <v>0.03</v>
      </c>
      <c r="AI17" s="40">
        <v>0.03</v>
      </c>
      <c r="AJ17" s="40">
        <v>0.03</v>
      </c>
      <c r="AK17" s="40">
        <v>0.03</v>
      </c>
      <c r="AL17" s="40">
        <v>0.03</v>
      </c>
      <c r="AM17" s="40">
        <v>0.03</v>
      </c>
    </row>
    <row r="18" spans="2:42" ht="15" customHeight="1">
      <c r="B18" s="39" t="s">
        <v>161</v>
      </c>
      <c r="C18" s="41"/>
      <c r="D18" s="43">
        <v>1.2</v>
      </c>
      <c r="E18" s="43">
        <v>1.2</v>
      </c>
      <c r="F18" s="43">
        <v>1.2</v>
      </c>
      <c r="G18" s="43">
        <v>1.2</v>
      </c>
      <c r="H18" s="43">
        <v>1.2</v>
      </c>
      <c r="I18" s="43">
        <v>1.2</v>
      </c>
      <c r="J18" s="43">
        <v>1.2</v>
      </c>
      <c r="K18" s="43">
        <v>1.2</v>
      </c>
      <c r="L18" s="43">
        <v>1.2</v>
      </c>
      <c r="M18" s="43">
        <v>1.2</v>
      </c>
      <c r="N18" s="43">
        <v>1.2</v>
      </c>
      <c r="O18" s="43">
        <v>1.2</v>
      </c>
      <c r="P18" s="43">
        <v>1.2</v>
      </c>
      <c r="Q18" s="43">
        <v>1.2</v>
      </c>
      <c r="R18" s="43">
        <v>1.2</v>
      </c>
      <c r="S18" s="43">
        <v>1.2</v>
      </c>
      <c r="T18" s="43">
        <v>1.2</v>
      </c>
      <c r="U18" s="43">
        <v>1.2</v>
      </c>
      <c r="V18" s="43">
        <v>1.2</v>
      </c>
      <c r="W18" s="43">
        <v>1.2</v>
      </c>
      <c r="X18" s="43">
        <v>1.2</v>
      </c>
      <c r="Y18" s="43">
        <v>1.2</v>
      </c>
      <c r="Z18" s="43">
        <v>1.2</v>
      </c>
      <c r="AA18" s="43">
        <v>1.2</v>
      </c>
      <c r="AB18" s="43">
        <v>1.2</v>
      </c>
      <c r="AC18" s="43">
        <v>1.2</v>
      </c>
      <c r="AD18" s="43">
        <v>1.2</v>
      </c>
      <c r="AE18" s="43">
        <v>1.2</v>
      </c>
      <c r="AF18" s="43">
        <v>1.2</v>
      </c>
      <c r="AG18" s="43">
        <v>1.2</v>
      </c>
      <c r="AH18" s="43">
        <v>1.2</v>
      </c>
      <c r="AI18" s="43">
        <v>1.2</v>
      </c>
      <c r="AJ18" s="43">
        <v>1.2</v>
      </c>
      <c r="AK18" s="43">
        <v>1.2</v>
      </c>
      <c r="AL18" s="43">
        <v>1.2</v>
      </c>
      <c r="AM18" s="43">
        <v>1.2</v>
      </c>
    </row>
    <row r="19" spans="2:42" ht="15" customHeight="1">
      <c r="B19" s="39" t="s">
        <v>162</v>
      </c>
      <c r="C19" s="41"/>
      <c r="D19" s="40">
        <v>0.25</v>
      </c>
      <c r="E19" s="40">
        <v>0.25</v>
      </c>
      <c r="F19" s="40">
        <v>0.25</v>
      </c>
      <c r="G19" s="40">
        <v>0.25</v>
      </c>
      <c r="H19" s="40">
        <v>0.25</v>
      </c>
      <c r="I19" s="40">
        <v>0.25</v>
      </c>
      <c r="J19" s="40">
        <v>0.25</v>
      </c>
      <c r="K19" s="40">
        <v>0.25</v>
      </c>
      <c r="L19" s="40">
        <v>0.25</v>
      </c>
      <c r="M19" s="40">
        <v>0.25</v>
      </c>
      <c r="N19" s="40">
        <v>0.25</v>
      </c>
      <c r="O19" s="40">
        <v>0.25</v>
      </c>
      <c r="P19" s="40">
        <v>0.25</v>
      </c>
      <c r="Q19" s="40">
        <v>0.25</v>
      </c>
      <c r="R19" s="40">
        <v>0.25</v>
      </c>
      <c r="S19" s="40">
        <v>0.25</v>
      </c>
      <c r="T19" s="40">
        <v>0.25</v>
      </c>
      <c r="U19" s="40">
        <v>0.25</v>
      </c>
      <c r="V19" s="40">
        <v>0.25</v>
      </c>
      <c r="W19" s="40">
        <v>0.25</v>
      </c>
      <c r="X19" s="40">
        <v>0.25</v>
      </c>
      <c r="Y19" s="40">
        <v>0.25</v>
      </c>
      <c r="Z19" s="40">
        <v>0.25</v>
      </c>
      <c r="AA19" s="40">
        <v>0.25</v>
      </c>
      <c r="AB19" s="40">
        <v>0.25</v>
      </c>
      <c r="AC19" s="40">
        <v>0.25</v>
      </c>
      <c r="AD19" s="40">
        <v>0.25</v>
      </c>
      <c r="AE19" s="40">
        <v>0.25</v>
      </c>
      <c r="AF19" s="40">
        <v>0.25</v>
      </c>
      <c r="AG19" s="40">
        <v>0.25</v>
      </c>
      <c r="AH19" s="40">
        <v>0.25</v>
      </c>
      <c r="AI19" s="40">
        <v>0.25</v>
      </c>
      <c r="AJ19" s="40">
        <v>0.25</v>
      </c>
      <c r="AK19" s="40">
        <v>0.25</v>
      </c>
      <c r="AL19" s="40">
        <v>0.25</v>
      </c>
      <c r="AM19" s="40">
        <v>0.25</v>
      </c>
      <c r="AN19" s="44"/>
      <c r="AO19" s="44"/>
      <c r="AP19" s="44"/>
    </row>
    <row r="20" spans="2:42" ht="15" customHeight="1">
      <c r="B20" s="39" t="s">
        <v>163</v>
      </c>
      <c r="C20" s="41"/>
      <c r="D20" s="40">
        <v>0.05</v>
      </c>
      <c r="E20" s="40">
        <v>0.05</v>
      </c>
      <c r="F20" s="40">
        <v>0.05</v>
      </c>
      <c r="G20" s="40">
        <v>0.05</v>
      </c>
      <c r="H20" s="40">
        <v>0.05</v>
      </c>
      <c r="I20" s="40">
        <v>0.05</v>
      </c>
      <c r="J20" s="40">
        <v>0.05</v>
      </c>
      <c r="K20" s="40">
        <v>0.05</v>
      </c>
      <c r="L20" s="40">
        <v>0.05</v>
      </c>
      <c r="M20" s="40">
        <v>0.05</v>
      </c>
      <c r="N20" s="40">
        <v>0.05</v>
      </c>
      <c r="O20" s="40">
        <v>0.05</v>
      </c>
      <c r="P20" s="40">
        <v>0.05</v>
      </c>
      <c r="Q20" s="40">
        <v>0.05</v>
      </c>
      <c r="R20" s="40">
        <v>0.05</v>
      </c>
      <c r="S20" s="40">
        <v>0.05</v>
      </c>
      <c r="T20" s="40">
        <v>0.05</v>
      </c>
      <c r="U20" s="40">
        <v>0.05</v>
      </c>
      <c r="V20" s="40">
        <v>0.05</v>
      </c>
      <c r="W20" s="40">
        <v>0.05</v>
      </c>
      <c r="X20" s="40">
        <v>0.05</v>
      </c>
      <c r="Y20" s="40">
        <v>0.05</v>
      </c>
      <c r="Z20" s="40">
        <v>0.05</v>
      </c>
      <c r="AA20" s="40">
        <v>0.05</v>
      </c>
      <c r="AB20" s="40">
        <v>0.05</v>
      </c>
      <c r="AC20" s="40">
        <v>0.05</v>
      </c>
      <c r="AD20" s="40">
        <v>0.05</v>
      </c>
      <c r="AE20" s="40">
        <v>0.05</v>
      </c>
      <c r="AF20" s="40">
        <v>0.05</v>
      </c>
      <c r="AG20" s="40">
        <v>0.05</v>
      </c>
      <c r="AH20" s="40">
        <v>0.05</v>
      </c>
      <c r="AI20" s="40">
        <v>0.05</v>
      </c>
      <c r="AJ20" s="40">
        <v>0.05</v>
      </c>
      <c r="AK20" s="40">
        <v>0.05</v>
      </c>
      <c r="AL20" s="40">
        <v>0.05</v>
      </c>
      <c r="AM20" s="40">
        <v>0.05</v>
      </c>
      <c r="AN20" s="44"/>
      <c r="AO20" s="44"/>
      <c r="AP20" s="44"/>
    </row>
    <row r="21" spans="2:42" ht="15" customHeight="1">
      <c r="B21" s="39" t="s">
        <v>164</v>
      </c>
      <c r="C21" s="41"/>
      <c r="D21" s="40">
        <v>0.08</v>
      </c>
      <c r="E21" s="40">
        <v>0.08</v>
      </c>
      <c r="F21" s="40">
        <v>0.08</v>
      </c>
      <c r="G21" s="40">
        <v>0.08</v>
      </c>
      <c r="H21" s="40">
        <v>0.08</v>
      </c>
      <c r="I21" s="40">
        <v>0.08</v>
      </c>
      <c r="J21" s="40">
        <v>0.08</v>
      </c>
      <c r="K21" s="40">
        <v>0.08</v>
      </c>
      <c r="L21" s="40">
        <v>0.08</v>
      </c>
      <c r="M21" s="40">
        <v>0.08</v>
      </c>
      <c r="N21" s="40">
        <v>0.08</v>
      </c>
      <c r="O21" s="40">
        <v>0.08</v>
      </c>
      <c r="P21" s="40">
        <v>0.08</v>
      </c>
      <c r="Q21" s="40">
        <v>0.08</v>
      </c>
      <c r="R21" s="40">
        <v>0.08</v>
      </c>
      <c r="S21" s="40">
        <v>0.08</v>
      </c>
      <c r="T21" s="40">
        <v>0.08</v>
      </c>
      <c r="U21" s="40">
        <v>0.08</v>
      </c>
      <c r="V21" s="40">
        <v>0.08</v>
      </c>
      <c r="W21" s="40">
        <v>0.08</v>
      </c>
      <c r="X21" s="40">
        <v>0.08</v>
      </c>
      <c r="Y21" s="40">
        <v>0.08</v>
      </c>
      <c r="Z21" s="40">
        <v>0.08</v>
      </c>
      <c r="AA21" s="40">
        <v>0.08</v>
      </c>
      <c r="AB21" s="40">
        <v>0.08</v>
      </c>
      <c r="AC21" s="40">
        <v>0.08</v>
      </c>
      <c r="AD21" s="40">
        <v>0.08</v>
      </c>
      <c r="AE21" s="40">
        <v>0.08</v>
      </c>
      <c r="AF21" s="40">
        <v>0.08</v>
      </c>
      <c r="AG21" s="40">
        <v>0.08</v>
      </c>
      <c r="AH21" s="40">
        <v>0.08</v>
      </c>
      <c r="AI21" s="40">
        <v>0.08</v>
      </c>
      <c r="AJ21" s="40">
        <v>0.08</v>
      </c>
      <c r="AK21" s="40">
        <v>0.08</v>
      </c>
      <c r="AL21" s="40">
        <v>0.08</v>
      </c>
      <c r="AM21" s="40">
        <v>0.08</v>
      </c>
      <c r="AN21" s="44"/>
      <c r="AO21" s="44"/>
      <c r="AP21" s="44"/>
    </row>
    <row r="22" spans="2:42" ht="15" customHeight="1">
      <c r="B22" s="94" t="s">
        <v>165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</row>
    <row r="23" spans="2:42" ht="15" customHeight="1">
      <c r="B23" s="45" t="s">
        <v>166</v>
      </c>
      <c r="D23" s="46">
        <v>1</v>
      </c>
      <c r="E23" s="47">
        <f t="shared" ref="E23:AM23" si="2">D27</f>
        <v>2</v>
      </c>
      <c r="F23" s="47">
        <f t="shared" si="2"/>
        <v>3</v>
      </c>
      <c r="G23" s="47">
        <f t="shared" si="2"/>
        <v>4</v>
      </c>
      <c r="H23" s="47">
        <f t="shared" si="2"/>
        <v>5</v>
      </c>
      <c r="I23" s="47">
        <f t="shared" si="2"/>
        <v>6</v>
      </c>
      <c r="J23" s="47">
        <f t="shared" si="2"/>
        <v>7</v>
      </c>
      <c r="K23" s="47">
        <f t="shared" si="2"/>
        <v>8</v>
      </c>
      <c r="L23" s="47">
        <f t="shared" si="2"/>
        <v>10</v>
      </c>
      <c r="M23" s="47">
        <f t="shared" si="2"/>
        <v>12</v>
      </c>
      <c r="N23" s="47">
        <f t="shared" si="2"/>
        <v>15</v>
      </c>
      <c r="O23" s="47">
        <f t="shared" si="2"/>
        <v>19</v>
      </c>
      <c r="P23" s="47">
        <f t="shared" si="2"/>
        <v>24</v>
      </c>
      <c r="Q23" s="47">
        <f t="shared" si="2"/>
        <v>27</v>
      </c>
      <c r="R23" s="47">
        <f t="shared" si="2"/>
        <v>30</v>
      </c>
      <c r="S23" s="47">
        <f t="shared" si="2"/>
        <v>34</v>
      </c>
      <c r="T23" s="47">
        <f t="shared" si="2"/>
        <v>39</v>
      </c>
      <c r="U23" s="47">
        <f t="shared" si="2"/>
        <v>44</v>
      </c>
      <c r="V23" s="47">
        <f t="shared" si="2"/>
        <v>50</v>
      </c>
      <c r="W23" s="47">
        <f t="shared" si="2"/>
        <v>58</v>
      </c>
      <c r="X23" s="47">
        <f t="shared" si="2"/>
        <v>68</v>
      </c>
      <c r="Y23" s="47">
        <f t="shared" si="2"/>
        <v>79</v>
      </c>
      <c r="Z23" s="47">
        <f t="shared" si="2"/>
        <v>93</v>
      </c>
      <c r="AA23" s="47">
        <f t="shared" si="2"/>
        <v>109</v>
      </c>
      <c r="AB23" s="47">
        <f t="shared" si="2"/>
        <v>129</v>
      </c>
      <c r="AC23" s="47">
        <f t="shared" si="2"/>
        <v>139</v>
      </c>
      <c r="AD23" s="47">
        <f t="shared" si="2"/>
        <v>151</v>
      </c>
      <c r="AE23" s="47">
        <f t="shared" si="2"/>
        <v>164</v>
      </c>
      <c r="AF23" s="47">
        <f t="shared" si="2"/>
        <v>178</v>
      </c>
      <c r="AG23" s="47">
        <f t="shared" si="2"/>
        <v>190</v>
      </c>
      <c r="AH23" s="47">
        <f t="shared" si="2"/>
        <v>202</v>
      </c>
      <c r="AI23" s="47">
        <f t="shared" si="2"/>
        <v>215</v>
      </c>
      <c r="AJ23" s="47">
        <f t="shared" si="2"/>
        <v>229</v>
      </c>
      <c r="AK23" s="47">
        <f t="shared" si="2"/>
        <v>244</v>
      </c>
      <c r="AL23" s="47">
        <f t="shared" si="2"/>
        <v>259</v>
      </c>
      <c r="AM23" s="47">
        <f t="shared" si="2"/>
        <v>271</v>
      </c>
    </row>
    <row r="24" spans="2:42" ht="15" customHeight="1">
      <c r="B24" s="45" t="s">
        <v>167</v>
      </c>
      <c r="D24" s="47">
        <v>1</v>
      </c>
      <c r="E24" s="47">
        <f t="shared" ref="E24:AM24" si="3">MAX(1,ROUND(E23*E7,0))</f>
        <v>1</v>
      </c>
      <c r="F24" s="47">
        <f t="shared" si="3"/>
        <v>1</v>
      </c>
      <c r="G24" s="47">
        <f t="shared" si="3"/>
        <v>1</v>
      </c>
      <c r="H24" s="47">
        <f t="shared" si="3"/>
        <v>1</v>
      </c>
      <c r="I24" s="47">
        <f t="shared" si="3"/>
        <v>1</v>
      </c>
      <c r="J24" s="47">
        <f t="shared" si="3"/>
        <v>1</v>
      </c>
      <c r="K24" s="47">
        <f t="shared" si="3"/>
        <v>2</v>
      </c>
      <c r="L24" s="47">
        <f t="shared" si="3"/>
        <v>3</v>
      </c>
      <c r="M24" s="47">
        <f t="shared" si="3"/>
        <v>4</v>
      </c>
      <c r="N24" s="47">
        <f t="shared" si="3"/>
        <v>5</v>
      </c>
      <c r="O24" s="47">
        <f t="shared" si="3"/>
        <v>6</v>
      </c>
      <c r="P24" s="47">
        <f t="shared" si="3"/>
        <v>4</v>
      </c>
      <c r="Q24" s="47">
        <f t="shared" si="3"/>
        <v>4</v>
      </c>
      <c r="R24" s="47">
        <f t="shared" si="3"/>
        <v>5</v>
      </c>
      <c r="S24" s="47">
        <f t="shared" si="3"/>
        <v>6</v>
      </c>
      <c r="T24" s="47">
        <f t="shared" si="3"/>
        <v>7</v>
      </c>
      <c r="U24" s="47">
        <f t="shared" si="3"/>
        <v>8</v>
      </c>
      <c r="V24" s="47">
        <f t="shared" si="3"/>
        <v>10</v>
      </c>
      <c r="W24" s="47">
        <f t="shared" si="3"/>
        <v>12</v>
      </c>
      <c r="X24" s="47">
        <f t="shared" si="3"/>
        <v>14</v>
      </c>
      <c r="Y24" s="47">
        <f t="shared" si="3"/>
        <v>17</v>
      </c>
      <c r="Z24" s="47">
        <f t="shared" si="3"/>
        <v>20</v>
      </c>
      <c r="AA24" s="47">
        <f t="shared" si="3"/>
        <v>24</v>
      </c>
      <c r="AB24" s="47">
        <f t="shared" si="3"/>
        <v>15</v>
      </c>
      <c r="AC24" s="47">
        <f t="shared" si="3"/>
        <v>17</v>
      </c>
      <c r="AD24" s="47">
        <f t="shared" si="3"/>
        <v>18</v>
      </c>
      <c r="AE24" s="47">
        <f t="shared" si="3"/>
        <v>20</v>
      </c>
      <c r="AF24" s="47">
        <f t="shared" si="3"/>
        <v>18</v>
      </c>
      <c r="AG24" s="47">
        <f t="shared" si="3"/>
        <v>19</v>
      </c>
      <c r="AH24" s="47">
        <f t="shared" si="3"/>
        <v>20</v>
      </c>
      <c r="AI24" s="47">
        <f t="shared" si="3"/>
        <v>22</v>
      </c>
      <c r="AJ24" s="47">
        <f t="shared" si="3"/>
        <v>23</v>
      </c>
      <c r="AK24" s="47">
        <f t="shared" si="3"/>
        <v>24</v>
      </c>
      <c r="AL24" s="47">
        <f t="shared" si="3"/>
        <v>21</v>
      </c>
      <c r="AM24" s="47">
        <f t="shared" si="3"/>
        <v>22</v>
      </c>
    </row>
    <row r="25" spans="2:42" ht="15" customHeight="1">
      <c r="B25" s="45" t="s">
        <v>168</v>
      </c>
      <c r="D25" s="48">
        <f t="shared" ref="D25:AM25" si="4">-ROUND(D23*D8,0)</f>
        <v>0</v>
      </c>
      <c r="E25" s="48">
        <f t="shared" si="4"/>
        <v>0</v>
      </c>
      <c r="F25" s="48">
        <f t="shared" si="4"/>
        <v>0</v>
      </c>
      <c r="G25" s="48">
        <f t="shared" si="4"/>
        <v>0</v>
      </c>
      <c r="H25" s="48">
        <f t="shared" si="4"/>
        <v>0</v>
      </c>
      <c r="I25" s="48">
        <f t="shared" si="4"/>
        <v>0</v>
      </c>
      <c r="J25" s="48">
        <f t="shared" si="4"/>
        <v>0</v>
      </c>
      <c r="K25" s="48">
        <f t="shared" si="4"/>
        <v>0</v>
      </c>
      <c r="L25" s="48">
        <f t="shared" si="4"/>
        <v>-1</v>
      </c>
      <c r="M25" s="48">
        <f t="shared" si="4"/>
        <v>-1</v>
      </c>
      <c r="N25" s="48">
        <f t="shared" si="4"/>
        <v>-1</v>
      </c>
      <c r="O25" s="48">
        <f t="shared" si="4"/>
        <v>-1</v>
      </c>
      <c r="P25" s="48">
        <f t="shared" si="4"/>
        <v>-1</v>
      </c>
      <c r="Q25" s="48">
        <f t="shared" si="4"/>
        <v>-1</v>
      </c>
      <c r="R25" s="48">
        <f t="shared" si="4"/>
        <v>-1</v>
      </c>
      <c r="S25" s="48">
        <f t="shared" si="4"/>
        <v>-1</v>
      </c>
      <c r="T25" s="48">
        <f t="shared" si="4"/>
        <v>-2</v>
      </c>
      <c r="U25" s="48">
        <f t="shared" si="4"/>
        <v>-2</v>
      </c>
      <c r="V25" s="48">
        <f t="shared" si="4"/>
        <v>-2</v>
      </c>
      <c r="W25" s="48">
        <f t="shared" si="4"/>
        <v>-2</v>
      </c>
      <c r="X25" s="48">
        <f t="shared" si="4"/>
        <v>-3</v>
      </c>
      <c r="Y25" s="48">
        <f t="shared" si="4"/>
        <v>-3</v>
      </c>
      <c r="Z25" s="48">
        <f t="shared" si="4"/>
        <v>-4</v>
      </c>
      <c r="AA25" s="48">
        <f t="shared" si="4"/>
        <v>-4</v>
      </c>
      <c r="AB25" s="48">
        <f t="shared" si="4"/>
        <v>-5</v>
      </c>
      <c r="AC25" s="48">
        <f t="shared" si="4"/>
        <v>-5</v>
      </c>
      <c r="AD25" s="48">
        <f t="shared" si="4"/>
        <v>-5</v>
      </c>
      <c r="AE25" s="48">
        <f t="shared" si="4"/>
        <v>-6</v>
      </c>
      <c r="AF25" s="48">
        <f t="shared" si="4"/>
        <v>-6</v>
      </c>
      <c r="AG25" s="48">
        <f t="shared" si="4"/>
        <v>-7</v>
      </c>
      <c r="AH25" s="48">
        <f t="shared" si="4"/>
        <v>-7</v>
      </c>
      <c r="AI25" s="48">
        <f t="shared" si="4"/>
        <v>-8</v>
      </c>
      <c r="AJ25" s="48">
        <f t="shared" si="4"/>
        <v>-8</v>
      </c>
      <c r="AK25" s="48">
        <f t="shared" si="4"/>
        <v>-9</v>
      </c>
      <c r="AL25" s="48">
        <f t="shared" si="4"/>
        <v>-9</v>
      </c>
      <c r="AM25" s="48">
        <f t="shared" si="4"/>
        <v>-9</v>
      </c>
    </row>
    <row r="26" spans="2:42" ht="15" customHeight="1">
      <c r="B26" s="45" t="s">
        <v>169</v>
      </c>
      <c r="D26" s="47">
        <f t="shared" ref="D26:AM26" si="5">D24+D25</f>
        <v>1</v>
      </c>
      <c r="E26" s="47">
        <f t="shared" si="5"/>
        <v>1</v>
      </c>
      <c r="F26" s="47">
        <f t="shared" si="5"/>
        <v>1</v>
      </c>
      <c r="G26" s="47">
        <f t="shared" si="5"/>
        <v>1</v>
      </c>
      <c r="H26" s="47">
        <f t="shared" si="5"/>
        <v>1</v>
      </c>
      <c r="I26" s="47">
        <f t="shared" si="5"/>
        <v>1</v>
      </c>
      <c r="J26" s="47">
        <f t="shared" si="5"/>
        <v>1</v>
      </c>
      <c r="K26" s="47">
        <f t="shared" si="5"/>
        <v>2</v>
      </c>
      <c r="L26" s="47">
        <f t="shared" si="5"/>
        <v>2</v>
      </c>
      <c r="M26" s="47">
        <f t="shared" si="5"/>
        <v>3</v>
      </c>
      <c r="N26" s="47">
        <f t="shared" si="5"/>
        <v>4</v>
      </c>
      <c r="O26" s="47">
        <f t="shared" si="5"/>
        <v>5</v>
      </c>
      <c r="P26" s="47">
        <f t="shared" si="5"/>
        <v>3</v>
      </c>
      <c r="Q26" s="47">
        <f t="shared" si="5"/>
        <v>3</v>
      </c>
      <c r="R26" s="47">
        <f t="shared" si="5"/>
        <v>4</v>
      </c>
      <c r="S26" s="47">
        <f t="shared" si="5"/>
        <v>5</v>
      </c>
      <c r="T26" s="47">
        <f t="shared" si="5"/>
        <v>5</v>
      </c>
      <c r="U26" s="47">
        <f t="shared" si="5"/>
        <v>6</v>
      </c>
      <c r="V26" s="47">
        <f t="shared" si="5"/>
        <v>8</v>
      </c>
      <c r="W26" s="47">
        <f t="shared" si="5"/>
        <v>10</v>
      </c>
      <c r="X26" s="47">
        <f t="shared" si="5"/>
        <v>11</v>
      </c>
      <c r="Y26" s="47">
        <f t="shared" si="5"/>
        <v>14</v>
      </c>
      <c r="Z26" s="47">
        <f t="shared" si="5"/>
        <v>16</v>
      </c>
      <c r="AA26" s="47">
        <f t="shared" si="5"/>
        <v>20</v>
      </c>
      <c r="AB26" s="47">
        <f t="shared" si="5"/>
        <v>10</v>
      </c>
      <c r="AC26" s="47">
        <f t="shared" si="5"/>
        <v>12</v>
      </c>
      <c r="AD26" s="47">
        <f t="shared" si="5"/>
        <v>13</v>
      </c>
      <c r="AE26" s="47">
        <f t="shared" si="5"/>
        <v>14</v>
      </c>
      <c r="AF26" s="47">
        <f t="shared" si="5"/>
        <v>12</v>
      </c>
      <c r="AG26" s="47">
        <f t="shared" si="5"/>
        <v>12</v>
      </c>
      <c r="AH26" s="47">
        <f t="shared" si="5"/>
        <v>13</v>
      </c>
      <c r="AI26" s="47">
        <f t="shared" si="5"/>
        <v>14</v>
      </c>
      <c r="AJ26" s="47">
        <f t="shared" si="5"/>
        <v>15</v>
      </c>
      <c r="AK26" s="47">
        <f t="shared" si="5"/>
        <v>15</v>
      </c>
      <c r="AL26" s="47">
        <f t="shared" si="5"/>
        <v>12</v>
      </c>
      <c r="AM26" s="47">
        <f t="shared" si="5"/>
        <v>13</v>
      </c>
    </row>
    <row r="27" spans="2:42" ht="15" customHeight="1">
      <c r="B27" s="49" t="s">
        <v>170</v>
      </c>
      <c r="D27" s="50">
        <f t="shared" ref="D27:AM27" si="6">D23+D26</f>
        <v>2</v>
      </c>
      <c r="E27" s="50">
        <f t="shared" si="6"/>
        <v>3</v>
      </c>
      <c r="F27" s="50">
        <f t="shared" si="6"/>
        <v>4</v>
      </c>
      <c r="G27" s="50">
        <f t="shared" si="6"/>
        <v>5</v>
      </c>
      <c r="H27" s="50">
        <f t="shared" si="6"/>
        <v>6</v>
      </c>
      <c r="I27" s="50">
        <f t="shared" si="6"/>
        <v>7</v>
      </c>
      <c r="J27" s="50">
        <f t="shared" si="6"/>
        <v>8</v>
      </c>
      <c r="K27" s="50">
        <f t="shared" si="6"/>
        <v>10</v>
      </c>
      <c r="L27" s="50">
        <f t="shared" si="6"/>
        <v>12</v>
      </c>
      <c r="M27" s="50">
        <f t="shared" si="6"/>
        <v>15</v>
      </c>
      <c r="N27" s="50">
        <f t="shared" si="6"/>
        <v>19</v>
      </c>
      <c r="O27" s="50">
        <f t="shared" si="6"/>
        <v>24</v>
      </c>
      <c r="P27" s="50">
        <f t="shared" si="6"/>
        <v>27</v>
      </c>
      <c r="Q27" s="50">
        <f t="shared" si="6"/>
        <v>30</v>
      </c>
      <c r="R27" s="50">
        <f t="shared" si="6"/>
        <v>34</v>
      </c>
      <c r="S27" s="50">
        <f t="shared" si="6"/>
        <v>39</v>
      </c>
      <c r="T27" s="50">
        <f t="shared" si="6"/>
        <v>44</v>
      </c>
      <c r="U27" s="50">
        <f t="shared" si="6"/>
        <v>50</v>
      </c>
      <c r="V27" s="50">
        <f t="shared" si="6"/>
        <v>58</v>
      </c>
      <c r="W27" s="50">
        <f t="shared" si="6"/>
        <v>68</v>
      </c>
      <c r="X27" s="50">
        <f t="shared" si="6"/>
        <v>79</v>
      </c>
      <c r="Y27" s="50">
        <f t="shared" si="6"/>
        <v>93</v>
      </c>
      <c r="Z27" s="50">
        <f t="shared" si="6"/>
        <v>109</v>
      </c>
      <c r="AA27" s="50">
        <f t="shared" si="6"/>
        <v>129</v>
      </c>
      <c r="AB27" s="50">
        <f t="shared" si="6"/>
        <v>139</v>
      </c>
      <c r="AC27" s="50">
        <f t="shared" si="6"/>
        <v>151</v>
      </c>
      <c r="AD27" s="50">
        <f t="shared" si="6"/>
        <v>164</v>
      </c>
      <c r="AE27" s="50">
        <f t="shared" si="6"/>
        <v>178</v>
      </c>
      <c r="AF27" s="50">
        <f t="shared" si="6"/>
        <v>190</v>
      </c>
      <c r="AG27" s="50">
        <f t="shared" si="6"/>
        <v>202</v>
      </c>
      <c r="AH27" s="50">
        <f t="shared" si="6"/>
        <v>215</v>
      </c>
      <c r="AI27" s="50">
        <f t="shared" si="6"/>
        <v>229</v>
      </c>
      <c r="AJ27" s="50">
        <f t="shared" si="6"/>
        <v>244</v>
      </c>
      <c r="AK27" s="50">
        <f t="shared" si="6"/>
        <v>259</v>
      </c>
      <c r="AL27" s="50">
        <f t="shared" si="6"/>
        <v>271</v>
      </c>
      <c r="AM27" s="50">
        <f t="shared" si="6"/>
        <v>284</v>
      </c>
      <c r="AN27" s="51">
        <f>O27</f>
        <v>24</v>
      </c>
      <c r="AO27" s="51">
        <f>AA27</f>
        <v>129</v>
      </c>
      <c r="AP27" s="51">
        <f>AM27</f>
        <v>284</v>
      </c>
    </row>
    <row r="28" spans="2:42" ht="15" customHeight="1">
      <c r="B28" s="52" t="s">
        <v>171</v>
      </c>
      <c r="D28" s="53" t="str">
        <f t="shared" ref="D28:AM28" si="7">IF(C27&gt;0,(D27-C27)/C27,"N/A")</f>
        <v>N/A</v>
      </c>
      <c r="E28" s="53">
        <f t="shared" si="7"/>
        <v>0.5</v>
      </c>
      <c r="F28" s="53">
        <f t="shared" si="7"/>
        <v>0.33333333333333331</v>
      </c>
      <c r="G28" s="53">
        <f t="shared" si="7"/>
        <v>0.25</v>
      </c>
      <c r="H28" s="53">
        <f t="shared" si="7"/>
        <v>0.2</v>
      </c>
      <c r="I28" s="53">
        <f t="shared" si="7"/>
        <v>0.16666666666666666</v>
      </c>
      <c r="J28" s="53">
        <f t="shared" si="7"/>
        <v>0.14285714285714285</v>
      </c>
      <c r="K28" s="53">
        <f t="shared" si="7"/>
        <v>0.25</v>
      </c>
      <c r="L28" s="53">
        <f t="shared" si="7"/>
        <v>0.2</v>
      </c>
      <c r="M28" s="53">
        <f t="shared" si="7"/>
        <v>0.25</v>
      </c>
      <c r="N28" s="53">
        <f t="shared" si="7"/>
        <v>0.26666666666666666</v>
      </c>
      <c r="O28" s="53">
        <f t="shared" si="7"/>
        <v>0.26315789473684209</v>
      </c>
      <c r="P28" s="53">
        <f t="shared" si="7"/>
        <v>0.125</v>
      </c>
      <c r="Q28" s="53">
        <f t="shared" si="7"/>
        <v>0.1111111111111111</v>
      </c>
      <c r="R28" s="53">
        <f t="shared" si="7"/>
        <v>0.13333333333333333</v>
      </c>
      <c r="S28" s="53">
        <f t="shared" si="7"/>
        <v>0.14705882352941177</v>
      </c>
      <c r="T28" s="53">
        <f t="shared" si="7"/>
        <v>0.12820512820512819</v>
      </c>
      <c r="U28" s="53">
        <f t="shared" si="7"/>
        <v>0.13636363636363635</v>
      </c>
      <c r="V28" s="53">
        <f t="shared" si="7"/>
        <v>0.16</v>
      </c>
      <c r="W28" s="53">
        <f t="shared" si="7"/>
        <v>0.17241379310344829</v>
      </c>
      <c r="X28" s="53">
        <f t="shared" si="7"/>
        <v>0.16176470588235295</v>
      </c>
      <c r="Y28" s="53">
        <f t="shared" si="7"/>
        <v>0.17721518987341772</v>
      </c>
      <c r="Z28" s="53">
        <f t="shared" si="7"/>
        <v>0.17204301075268819</v>
      </c>
      <c r="AA28" s="53">
        <f t="shared" si="7"/>
        <v>0.1834862385321101</v>
      </c>
      <c r="AB28" s="53">
        <f t="shared" si="7"/>
        <v>7.7519379844961239E-2</v>
      </c>
      <c r="AC28" s="53">
        <f t="shared" si="7"/>
        <v>8.6330935251798566E-2</v>
      </c>
      <c r="AD28" s="53">
        <f t="shared" si="7"/>
        <v>8.6092715231788075E-2</v>
      </c>
      <c r="AE28" s="53">
        <f t="shared" si="7"/>
        <v>8.5365853658536592E-2</v>
      </c>
      <c r="AF28" s="53">
        <f t="shared" si="7"/>
        <v>6.741573033707865E-2</v>
      </c>
      <c r="AG28" s="53">
        <f t="shared" si="7"/>
        <v>6.3157894736842107E-2</v>
      </c>
      <c r="AH28" s="53">
        <f t="shared" si="7"/>
        <v>6.4356435643564358E-2</v>
      </c>
      <c r="AI28" s="53">
        <f t="shared" si="7"/>
        <v>6.5116279069767441E-2</v>
      </c>
      <c r="AJ28" s="53">
        <f t="shared" si="7"/>
        <v>6.5502183406113537E-2</v>
      </c>
      <c r="AK28" s="53">
        <f t="shared" si="7"/>
        <v>6.1475409836065573E-2</v>
      </c>
      <c r="AL28" s="53">
        <f t="shared" si="7"/>
        <v>4.633204633204633E-2</v>
      </c>
      <c r="AM28" s="53">
        <f t="shared" si="7"/>
        <v>4.797047970479705E-2</v>
      </c>
    </row>
    <row r="29" spans="2:42" ht="15" customHeight="1">
      <c r="B29" s="94" t="s">
        <v>172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</row>
    <row r="30" spans="2:42" ht="15" customHeight="1">
      <c r="B30" s="45" t="s">
        <v>173</v>
      </c>
      <c r="D30" s="46">
        <v>20</v>
      </c>
      <c r="E30" s="47">
        <f t="shared" ref="E30:AM30" si="8">D32</f>
        <v>30</v>
      </c>
      <c r="F30" s="47">
        <f t="shared" si="8"/>
        <v>50</v>
      </c>
      <c r="G30" s="47">
        <f t="shared" si="8"/>
        <v>65</v>
      </c>
      <c r="H30" s="47">
        <f t="shared" si="8"/>
        <v>98</v>
      </c>
      <c r="I30" s="47">
        <f t="shared" si="8"/>
        <v>147</v>
      </c>
      <c r="J30" s="47">
        <f t="shared" si="8"/>
        <v>206</v>
      </c>
      <c r="K30" s="47">
        <f t="shared" si="8"/>
        <v>278</v>
      </c>
      <c r="L30" s="47">
        <f t="shared" si="8"/>
        <v>361</v>
      </c>
      <c r="M30" s="47">
        <f t="shared" si="8"/>
        <v>451</v>
      </c>
      <c r="N30" s="47">
        <f t="shared" si="8"/>
        <v>541</v>
      </c>
      <c r="O30" s="47">
        <f t="shared" si="8"/>
        <v>649</v>
      </c>
      <c r="P30" s="47">
        <f t="shared" si="8"/>
        <v>746</v>
      </c>
      <c r="Q30" s="47">
        <f t="shared" si="8"/>
        <v>858</v>
      </c>
      <c r="R30" s="47">
        <f t="shared" si="8"/>
        <v>987</v>
      </c>
      <c r="S30" s="47">
        <f t="shared" si="8"/>
        <v>1135</v>
      </c>
      <c r="T30" s="47">
        <f t="shared" si="8"/>
        <v>1362</v>
      </c>
      <c r="U30" s="47">
        <f t="shared" si="8"/>
        <v>1634</v>
      </c>
      <c r="V30" s="47">
        <f t="shared" si="8"/>
        <v>1879</v>
      </c>
      <c r="W30" s="47">
        <f t="shared" si="8"/>
        <v>2161</v>
      </c>
      <c r="X30" s="47">
        <f t="shared" si="8"/>
        <v>2420</v>
      </c>
      <c r="Y30" s="47">
        <f t="shared" si="8"/>
        <v>2710</v>
      </c>
      <c r="Z30" s="47">
        <f t="shared" si="8"/>
        <v>2981</v>
      </c>
      <c r="AA30" s="47">
        <f t="shared" si="8"/>
        <v>3279</v>
      </c>
      <c r="AB30" s="47">
        <f t="shared" si="8"/>
        <v>3607</v>
      </c>
      <c r="AC30" s="47">
        <f t="shared" si="8"/>
        <v>3968</v>
      </c>
      <c r="AD30" s="47">
        <f t="shared" si="8"/>
        <v>4365</v>
      </c>
      <c r="AE30" s="47">
        <f t="shared" si="8"/>
        <v>4714</v>
      </c>
      <c r="AF30" s="47">
        <f t="shared" si="8"/>
        <v>5091</v>
      </c>
      <c r="AG30" s="47">
        <f t="shared" si="8"/>
        <v>5498</v>
      </c>
      <c r="AH30" s="47">
        <f t="shared" si="8"/>
        <v>5938</v>
      </c>
      <c r="AI30" s="47">
        <f t="shared" si="8"/>
        <v>6354</v>
      </c>
      <c r="AJ30" s="47">
        <f t="shared" si="8"/>
        <v>6799</v>
      </c>
      <c r="AK30" s="47">
        <f t="shared" si="8"/>
        <v>7275</v>
      </c>
      <c r="AL30" s="47">
        <f t="shared" si="8"/>
        <v>7784</v>
      </c>
      <c r="AM30" s="47">
        <f t="shared" si="8"/>
        <v>8251</v>
      </c>
    </row>
    <row r="31" spans="2:42" ht="15" customHeight="1">
      <c r="B31" s="45" t="s">
        <v>174</v>
      </c>
      <c r="D31" s="47">
        <v>10</v>
      </c>
      <c r="E31" s="47">
        <v>20</v>
      </c>
      <c r="F31" s="47">
        <f t="shared" ref="F31:AM31" si="9">ROUND(F30*F16,0)</f>
        <v>15</v>
      </c>
      <c r="G31" s="47">
        <f t="shared" si="9"/>
        <v>33</v>
      </c>
      <c r="H31" s="47">
        <f t="shared" si="9"/>
        <v>49</v>
      </c>
      <c r="I31" s="47">
        <f t="shared" si="9"/>
        <v>59</v>
      </c>
      <c r="J31" s="47">
        <f t="shared" si="9"/>
        <v>72</v>
      </c>
      <c r="K31" s="47">
        <f t="shared" si="9"/>
        <v>83</v>
      </c>
      <c r="L31" s="47">
        <f t="shared" si="9"/>
        <v>90</v>
      </c>
      <c r="M31" s="47">
        <f t="shared" si="9"/>
        <v>90</v>
      </c>
      <c r="N31" s="47">
        <f t="shared" si="9"/>
        <v>108</v>
      </c>
      <c r="O31" s="47">
        <f t="shared" si="9"/>
        <v>97</v>
      </c>
      <c r="P31" s="47">
        <f t="shared" si="9"/>
        <v>112</v>
      </c>
      <c r="Q31" s="47">
        <f t="shared" si="9"/>
        <v>129</v>
      </c>
      <c r="R31" s="47">
        <f t="shared" si="9"/>
        <v>148</v>
      </c>
      <c r="S31" s="47">
        <f t="shared" si="9"/>
        <v>227</v>
      </c>
      <c r="T31" s="47">
        <f t="shared" si="9"/>
        <v>272</v>
      </c>
      <c r="U31" s="47">
        <f t="shared" si="9"/>
        <v>245</v>
      </c>
      <c r="V31" s="47">
        <f t="shared" si="9"/>
        <v>282</v>
      </c>
      <c r="W31" s="47">
        <f t="shared" si="9"/>
        <v>259</v>
      </c>
      <c r="X31" s="47">
        <f t="shared" si="9"/>
        <v>290</v>
      </c>
      <c r="Y31" s="47">
        <f t="shared" si="9"/>
        <v>271</v>
      </c>
      <c r="Z31" s="47">
        <f t="shared" si="9"/>
        <v>298</v>
      </c>
      <c r="AA31" s="47">
        <f t="shared" si="9"/>
        <v>328</v>
      </c>
      <c r="AB31" s="47">
        <f t="shared" si="9"/>
        <v>361</v>
      </c>
      <c r="AC31" s="47">
        <f t="shared" si="9"/>
        <v>397</v>
      </c>
      <c r="AD31" s="47">
        <f t="shared" si="9"/>
        <v>349</v>
      </c>
      <c r="AE31" s="47">
        <f t="shared" si="9"/>
        <v>377</v>
      </c>
      <c r="AF31" s="47">
        <f t="shared" si="9"/>
        <v>407</v>
      </c>
      <c r="AG31" s="47">
        <f t="shared" si="9"/>
        <v>440</v>
      </c>
      <c r="AH31" s="47">
        <f t="shared" si="9"/>
        <v>416</v>
      </c>
      <c r="AI31" s="47">
        <f t="shared" si="9"/>
        <v>445</v>
      </c>
      <c r="AJ31" s="47">
        <f t="shared" si="9"/>
        <v>476</v>
      </c>
      <c r="AK31" s="47">
        <f t="shared" si="9"/>
        <v>509</v>
      </c>
      <c r="AL31" s="47">
        <f t="shared" si="9"/>
        <v>467</v>
      </c>
      <c r="AM31" s="47">
        <f t="shared" si="9"/>
        <v>495</v>
      </c>
    </row>
    <row r="32" spans="2:42" ht="15" customHeight="1">
      <c r="B32" s="49" t="s">
        <v>175</v>
      </c>
      <c r="D32" s="50">
        <f t="shared" ref="D32:AM32" si="10">D30+D31</f>
        <v>30</v>
      </c>
      <c r="E32" s="50">
        <f t="shared" si="10"/>
        <v>50</v>
      </c>
      <c r="F32" s="50">
        <f t="shared" si="10"/>
        <v>65</v>
      </c>
      <c r="G32" s="50">
        <f t="shared" si="10"/>
        <v>98</v>
      </c>
      <c r="H32" s="50">
        <f t="shared" si="10"/>
        <v>147</v>
      </c>
      <c r="I32" s="50">
        <f t="shared" si="10"/>
        <v>206</v>
      </c>
      <c r="J32" s="50">
        <f t="shared" si="10"/>
        <v>278</v>
      </c>
      <c r="K32" s="50">
        <f t="shared" si="10"/>
        <v>361</v>
      </c>
      <c r="L32" s="50">
        <f t="shared" si="10"/>
        <v>451</v>
      </c>
      <c r="M32" s="50">
        <f t="shared" si="10"/>
        <v>541</v>
      </c>
      <c r="N32" s="50">
        <f t="shared" si="10"/>
        <v>649</v>
      </c>
      <c r="O32" s="50">
        <f t="shared" si="10"/>
        <v>746</v>
      </c>
      <c r="P32" s="50">
        <f t="shared" si="10"/>
        <v>858</v>
      </c>
      <c r="Q32" s="50">
        <f t="shared" si="10"/>
        <v>987</v>
      </c>
      <c r="R32" s="50">
        <f t="shared" si="10"/>
        <v>1135</v>
      </c>
      <c r="S32" s="50">
        <f t="shared" si="10"/>
        <v>1362</v>
      </c>
      <c r="T32" s="50">
        <f t="shared" si="10"/>
        <v>1634</v>
      </c>
      <c r="U32" s="50">
        <f t="shared" si="10"/>
        <v>1879</v>
      </c>
      <c r="V32" s="50">
        <f t="shared" si="10"/>
        <v>2161</v>
      </c>
      <c r="W32" s="50">
        <f t="shared" si="10"/>
        <v>2420</v>
      </c>
      <c r="X32" s="50">
        <f t="shared" si="10"/>
        <v>2710</v>
      </c>
      <c r="Y32" s="50">
        <f t="shared" si="10"/>
        <v>2981</v>
      </c>
      <c r="Z32" s="50">
        <f t="shared" si="10"/>
        <v>3279</v>
      </c>
      <c r="AA32" s="50">
        <f t="shared" si="10"/>
        <v>3607</v>
      </c>
      <c r="AB32" s="50">
        <f t="shared" si="10"/>
        <v>3968</v>
      </c>
      <c r="AC32" s="50">
        <f t="shared" si="10"/>
        <v>4365</v>
      </c>
      <c r="AD32" s="50">
        <f t="shared" si="10"/>
        <v>4714</v>
      </c>
      <c r="AE32" s="50">
        <f t="shared" si="10"/>
        <v>5091</v>
      </c>
      <c r="AF32" s="50">
        <f t="shared" si="10"/>
        <v>5498</v>
      </c>
      <c r="AG32" s="50">
        <f t="shared" si="10"/>
        <v>5938</v>
      </c>
      <c r="AH32" s="50">
        <f t="shared" si="10"/>
        <v>6354</v>
      </c>
      <c r="AI32" s="50">
        <f t="shared" si="10"/>
        <v>6799</v>
      </c>
      <c r="AJ32" s="50">
        <f t="shared" si="10"/>
        <v>7275</v>
      </c>
      <c r="AK32" s="50">
        <f t="shared" si="10"/>
        <v>7784</v>
      </c>
      <c r="AL32" s="50">
        <f t="shared" si="10"/>
        <v>8251</v>
      </c>
      <c r="AM32" s="50">
        <f t="shared" si="10"/>
        <v>8746</v>
      </c>
      <c r="AN32" s="51">
        <f>O32</f>
        <v>746</v>
      </c>
      <c r="AO32" s="51">
        <f>AA32</f>
        <v>3607</v>
      </c>
      <c r="AP32" s="51">
        <f>AM32</f>
        <v>8746</v>
      </c>
    </row>
    <row r="33" spans="2:42" ht="15" customHeight="1">
      <c r="B33" s="94" t="s">
        <v>176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</row>
    <row r="34" spans="2:42" ht="15" customHeight="1">
      <c r="B34" s="45" t="s">
        <v>177</v>
      </c>
      <c r="D34" s="47">
        <f t="shared" ref="D34:AM34" si="11">(1-D19-D20-D21)*D27*D18*D9</f>
        <v>72.912000000000006</v>
      </c>
      <c r="E34" s="47">
        <f t="shared" si="11"/>
        <v>109.36799999999999</v>
      </c>
      <c r="F34" s="47">
        <f t="shared" si="11"/>
        <v>145.82400000000001</v>
      </c>
      <c r="G34" s="47">
        <f t="shared" si="11"/>
        <v>182.28</v>
      </c>
      <c r="H34" s="47">
        <f t="shared" si="11"/>
        <v>218.73599999999999</v>
      </c>
      <c r="I34" s="47">
        <f t="shared" si="11"/>
        <v>255.19199999999998</v>
      </c>
      <c r="J34" s="47">
        <f t="shared" si="11"/>
        <v>291.64800000000002</v>
      </c>
      <c r="K34" s="47">
        <f t="shared" si="11"/>
        <v>364.56</v>
      </c>
      <c r="L34" s="47">
        <f t="shared" si="11"/>
        <v>437.47199999999998</v>
      </c>
      <c r="M34" s="47">
        <f t="shared" si="11"/>
        <v>546.84</v>
      </c>
      <c r="N34" s="47">
        <f t="shared" si="11"/>
        <v>692.66399999999999</v>
      </c>
      <c r="O34" s="47">
        <f t="shared" si="11"/>
        <v>874.94399999999996</v>
      </c>
      <c r="P34" s="47">
        <f t="shared" si="11"/>
        <v>984.3119999999999</v>
      </c>
      <c r="Q34" s="47">
        <f t="shared" si="11"/>
        <v>1093.68</v>
      </c>
      <c r="R34" s="47">
        <f t="shared" si="11"/>
        <v>1239.5039999999999</v>
      </c>
      <c r="S34" s="47">
        <f t="shared" si="11"/>
        <v>1421.7839999999999</v>
      </c>
      <c r="T34" s="47">
        <f t="shared" si="11"/>
        <v>1604.0639999999999</v>
      </c>
      <c r="U34" s="47">
        <f t="shared" si="11"/>
        <v>1822.7999999999997</v>
      </c>
      <c r="V34" s="47">
        <f t="shared" si="11"/>
        <v>2114.4479999999999</v>
      </c>
      <c r="W34" s="47">
        <f t="shared" si="11"/>
        <v>2479.0079999999998</v>
      </c>
      <c r="X34" s="47">
        <f t="shared" si="11"/>
        <v>2880.0239999999999</v>
      </c>
      <c r="Y34" s="47">
        <f t="shared" si="11"/>
        <v>3390.4079999999994</v>
      </c>
      <c r="Z34" s="47">
        <f t="shared" si="11"/>
        <v>3973.7039999999993</v>
      </c>
      <c r="AA34" s="47">
        <f t="shared" si="11"/>
        <v>4702.8239999999996</v>
      </c>
      <c r="AB34" s="47">
        <f t="shared" si="11"/>
        <v>5067.3839999999991</v>
      </c>
      <c r="AC34" s="47">
        <f t="shared" si="11"/>
        <v>5504.8560000000007</v>
      </c>
      <c r="AD34" s="47">
        <f t="shared" si="11"/>
        <v>5978.7839999999997</v>
      </c>
      <c r="AE34" s="47">
        <f t="shared" si="11"/>
        <v>6489.1679999999997</v>
      </c>
      <c r="AF34" s="47">
        <f t="shared" si="11"/>
        <v>6926.6399999999994</v>
      </c>
      <c r="AG34" s="47">
        <f t="shared" si="11"/>
        <v>7364.1119999999992</v>
      </c>
      <c r="AH34" s="47">
        <f t="shared" si="11"/>
        <v>7838.04</v>
      </c>
      <c r="AI34" s="47">
        <f t="shared" si="11"/>
        <v>8348.4239999999991</v>
      </c>
      <c r="AJ34" s="47">
        <f t="shared" si="11"/>
        <v>8895.2639999999992</v>
      </c>
      <c r="AK34" s="47">
        <f t="shared" si="11"/>
        <v>9442.1039999999994</v>
      </c>
      <c r="AL34" s="47">
        <f t="shared" si="11"/>
        <v>9879.5759999999991</v>
      </c>
      <c r="AM34" s="47">
        <f t="shared" si="11"/>
        <v>10353.504000000001</v>
      </c>
      <c r="AN34" s="51">
        <f t="shared" ref="AN34:AN41" si="12">SUM(D34:O34)</f>
        <v>4192.4400000000005</v>
      </c>
      <c r="AO34" s="51">
        <f t="shared" ref="AO34:AO41" si="13">SUM(P34:AA34)</f>
        <v>27706.559999999998</v>
      </c>
      <c r="AP34" s="51">
        <f t="shared" ref="AP34:AP41" si="14">SUM(AB34:AM34)</f>
        <v>92087.855999999985</v>
      </c>
    </row>
    <row r="35" spans="2:42" ht="15" customHeight="1">
      <c r="B35" s="45" t="s">
        <v>178</v>
      </c>
      <c r="D35" s="47">
        <f t="shared" ref="D35:AM35" si="15">D19*D27*D10</f>
        <v>99.5</v>
      </c>
      <c r="E35" s="47">
        <f t="shared" si="15"/>
        <v>149.25</v>
      </c>
      <c r="F35" s="47">
        <f t="shared" si="15"/>
        <v>199</v>
      </c>
      <c r="G35" s="47">
        <f t="shared" si="15"/>
        <v>248.75</v>
      </c>
      <c r="H35" s="47">
        <f t="shared" si="15"/>
        <v>298.5</v>
      </c>
      <c r="I35" s="47">
        <f t="shared" si="15"/>
        <v>348.25</v>
      </c>
      <c r="J35" s="47">
        <f t="shared" si="15"/>
        <v>398</v>
      </c>
      <c r="K35" s="47">
        <f t="shared" si="15"/>
        <v>497.5</v>
      </c>
      <c r="L35" s="47">
        <f t="shared" si="15"/>
        <v>597</v>
      </c>
      <c r="M35" s="47">
        <f t="shared" si="15"/>
        <v>746.25</v>
      </c>
      <c r="N35" s="47">
        <f t="shared" si="15"/>
        <v>945.25</v>
      </c>
      <c r="O35" s="47">
        <f t="shared" si="15"/>
        <v>1194</v>
      </c>
      <c r="P35" s="47">
        <f t="shared" si="15"/>
        <v>1343.25</v>
      </c>
      <c r="Q35" s="47">
        <f t="shared" si="15"/>
        <v>1492.5</v>
      </c>
      <c r="R35" s="47">
        <f t="shared" si="15"/>
        <v>1691.5</v>
      </c>
      <c r="S35" s="47">
        <f t="shared" si="15"/>
        <v>1940.25</v>
      </c>
      <c r="T35" s="47">
        <f t="shared" si="15"/>
        <v>2189</v>
      </c>
      <c r="U35" s="47">
        <f t="shared" si="15"/>
        <v>2487.5</v>
      </c>
      <c r="V35" s="47">
        <f t="shared" si="15"/>
        <v>2885.5</v>
      </c>
      <c r="W35" s="47">
        <f t="shared" si="15"/>
        <v>3383</v>
      </c>
      <c r="X35" s="47">
        <f t="shared" si="15"/>
        <v>3930.25</v>
      </c>
      <c r="Y35" s="47">
        <f t="shared" si="15"/>
        <v>4626.75</v>
      </c>
      <c r="Z35" s="47">
        <f t="shared" si="15"/>
        <v>5422.75</v>
      </c>
      <c r="AA35" s="47">
        <f t="shared" si="15"/>
        <v>6417.75</v>
      </c>
      <c r="AB35" s="47">
        <f t="shared" si="15"/>
        <v>6915.25</v>
      </c>
      <c r="AC35" s="47">
        <f t="shared" si="15"/>
        <v>7512.25</v>
      </c>
      <c r="AD35" s="47">
        <f t="shared" si="15"/>
        <v>8159</v>
      </c>
      <c r="AE35" s="47">
        <f t="shared" si="15"/>
        <v>8855.5</v>
      </c>
      <c r="AF35" s="47">
        <f t="shared" si="15"/>
        <v>9452.5</v>
      </c>
      <c r="AG35" s="47">
        <f t="shared" si="15"/>
        <v>10049.5</v>
      </c>
      <c r="AH35" s="47">
        <f t="shared" si="15"/>
        <v>10696.25</v>
      </c>
      <c r="AI35" s="47">
        <f t="shared" si="15"/>
        <v>11392.75</v>
      </c>
      <c r="AJ35" s="47">
        <f t="shared" si="15"/>
        <v>12139</v>
      </c>
      <c r="AK35" s="47">
        <f t="shared" si="15"/>
        <v>12885.25</v>
      </c>
      <c r="AL35" s="47">
        <f t="shared" si="15"/>
        <v>13482.25</v>
      </c>
      <c r="AM35" s="47">
        <f t="shared" si="15"/>
        <v>14129</v>
      </c>
      <c r="AN35" s="51">
        <f t="shared" si="12"/>
        <v>5721.25</v>
      </c>
      <c r="AO35" s="51">
        <f t="shared" si="13"/>
        <v>37810</v>
      </c>
      <c r="AP35" s="51">
        <f t="shared" si="14"/>
        <v>125668.5</v>
      </c>
    </row>
    <row r="36" spans="2:42" ht="15" customHeight="1">
      <c r="B36" s="45" t="s">
        <v>179</v>
      </c>
      <c r="C36" s="54"/>
      <c r="D36" s="47">
        <f t="shared" ref="D36:AM36" si="16">D20*D27*D11</f>
        <v>29.900000000000002</v>
      </c>
      <c r="E36" s="47">
        <f t="shared" si="16"/>
        <v>44.850000000000009</v>
      </c>
      <c r="F36" s="47">
        <f t="shared" si="16"/>
        <v>59.800000000000004</v>
      </c>
      <c r="G36" s="47">
        <f t="shared" si="16"/>
        <v>74.75</v>
      </c>
      <c r="H36" s="47">
        <f t="shared" si="16"/>
        <v>89.700000000000017</v>
      </c>
      <c r="I36" s="47">
        <f t="shared" si="16"/>
        <v>104.65</v>
      </c>
      <c r="J36" s="47">
        <f t="shared" si="16"/>
        <v>119.60000000000001</v>
      </c>
      <c r="K36" s="47">
        <f t="shared" si="16"/>
        <v>149.5</v>
      </c>
      <c r="L36" s="47">
        <f t="shared" si="16"/>
        <v>179.40000000000003</v>
      </c>
      <c r="M36" s="47">
        <f t="shared" si="16"/>
        <v>224.25</v>
      </c>
      <c r="N36" s="47">
        <f t="shared" si="16"/>
        <v>284.05</v>
      </c>
      <c r="O36" s="47">
        <f t="shared" si="16"/>
        <v>358.80000000000007</v>
      </c>
      <c r="P36" s="47">
        <f t="shared" si="16"/>
        <v>403.65000000000003</v>
      </c>
      <c r="Q36" s="47">
        <f t="shared" si="16"/>
        <v>448.5</v>
      </c>
      <c r="R36" s="47">
        <f t="shared" si="16"/>
        <v>508.30000000000007</v>
      </c>
      <c r="S36" s="47">
        <f t="shared" si="16"/>
        <v>583.05000000000007</v>
      </c>
      <c r="T36" s="47">
        <f t="shared" si="16"/>
        <v>657.80000000000007</v>
      </c>
      <c r="U36" s="47">
        <f t="shared" si="16"/>
        <v>747.5</v>
      </c>
      <c r="V36" s="47">
        <f t="shared" si="16"/>
        <v>867.10000000000014</v>
      </c>
      <c r="W36" s="47">
        <f t="shared" si="16"/>
        <v>1016.6000000000001</v>
      </c>
      <c r="X36" s="47">
        <f t="shared" si="16"/>
        <v>1181.05</v>
      </c>
      <c r="Y36" s="47">
        <f t="shared" si="16"/>
        <v>1390.3500000000001</v>
      </c>
      <c r="Z36" s="47">
        <f t="shared" si="16"/>
        <v>1629.55</v>
      </c>
      <c r="AA36" s="47">
        <f t="shared" si="16"/>
        <v>1928.55</v>
      </c>
      <c r="AB36" s="47">
        <f t="shared" si="16"/>
        <v>2078.0500000000002</v>
      </c>
      <c r="AC36" s="47">
        <f t="shared" si="16"/>
        <v>2257.4500000000003</v>
      </c>
      <c r="AD36" s="47">
        <f t="shared" si="16"/>
        <v>2451.8000000000002</v>
      </c>
      <c r="AE36" s="47">
        <f t="shared" si="16"/>
        <v>2661.1</v>
      </c>
      <c r="AF36" s="47">
        <f t="shared" si="16"/>
        <v>2840.5</v>
      </c>
      <c r="AG36" s="47">
        <f t="shared" si="16"/>
        <v>3019.9000000000005</v>
      </c>
      <c r="AH36" s="47">
        <f t="shared" si="16"/>
        <v>3214.25</v>
      </c>
      <c r="AI36" s="47">
        <f t="shared" si="16"/>
        <v>3423.55</v>
      </c>
      <c r="AJ36" s="47">
        <f t="shared" si="16"/>
        <v>3647.8</v>
      </c>
      <c r="AK36" s="47">
        <f t="shared" si="16"/>
        <v>3872.05</v>
      </c>
      <c r="AL36" s="47">
        <f t="shared" si="16"/>
        <v>4051.4500000000003</v>
      </c>
      <c r="AM36" s="47">
        <f t="shared" si="16"/>
        <v>4245.8</v>
      </c>
      <c r="AN36" s="51">
        <f t="shared" si="12"/>
        <v>1719.25</v>
      </c>
      <c r="AO36" s="51">
        <f t="shared" si="13"/>
        <v>11362</v>
      </c>
      <c r="AP36" s="51">
        <f t="shared" si="14"/>
        <v>37763.699999999997</v>
      </c>
    </row>
    <row r="37" spans="2:42" ht="15" customHeight="1">
      <c r="B37" s="45" t="s">
        <v>180</v>
      </c>
      <c r="D37" s="47">
        <f t="shared" ref="D37:AM37" si="17">D21*D27*D12</f>
        <v>79.84</v>
      </c>
      <c r="E37" s="47">
        <f t="shared" si="17"/>
        <v>119.75999999999999</v>
      </c>
      <c r="F37" s="47">
        <f t="shared" si="17"/>
        <v>159.68</v>
      </c>
      <c r="G37" s="47">
        <f t="shared" si="17"/>
        <v>199.60000000000002</v>
      </c>
      <c r="H37" s="47">
        <f t="shared" si="17"/>
        <v>239.51999999999998</v>
      </c>
      <c r="I37" s="47">
        <f t="shared" si="17"/>
        <v>279.44000000000005</v>
      </c>
      <c r="J37" s="47">
        <f t="shared" si="17"/>
        <v>319.36</v>
      </c>
      <c r="K37" s="47">
        <f t="shared" si="17"/>
        <v>399.20000000000005</v>
      </c>
      <c r="L37" s="47">
        <f t="shared" si="17"/>
        <v>479.03999999999996</v>
      </c>
      <c r="M37" s="47">
        <f t="shared" si="17"/>
        <v>598.79999999999995</v>
      </c>
      <c r="N37" s="47">
        <f t="shared" si="17"/>
        <v>758.48</v>
      </c>
      <c r="O37" s="47">
        <f t="shared" si="17"/>
        <v>958.07999999999993</v>
      </c>
      <c r="P37" s="47">
        <f t="shared" si="17"/>
        <v>1077.8400000000001</v>
      </c>
      <c r="Q37" s="47">
        <f t="shared" si="17"/>
        <v>1197.5999999999999</v>
      </c>
      <c r="R37" s="47">
        <f t="shared" si="17"/>
        <v>1357.2800000000002</v>
      </c>
      <c r="S37" s="47">
        <f t="shared" si="17"/>
        <v>1556.88</v>
      </c>
      <c r="T37" s="47">
        <f t="shared" si="17"/>
        <v>1756.48</v>
      </c>
      <c r="U37" s="47">
        <f t="shared" si="17"/>
        <v>1996</v>
      </c>
      <c r="V37" s="47">
        <f t="shared" si="17"/>
        <v>2315.3599999999997</v>
      </c>
      <c r="W37" s="47">
        <f t="shared" si="17"/>
        <v>2714.5600000000004</v>
      </c>
      <c r="X37" s="47">
        <f t="shared" si="17"/>
        <v>3153.6800000000003</v>
      </c>
      <c r="Y37" s="47">
        <f t="shared" si="17"/>
        <v>3712.5600000000004</v>
      </c>
      <c r="Z37" s="47">
        <f t="shared" si="17"/>
        <v>4351.2800000000007</v>
      </c>
      <c r="AA37" s="47">
        <f t="shared" si="17"/>
        <v>5149.68</v>
      </c>
      <c r="AB37" s="47">
        <f t="shared" si="17"/>
        <v>5548.88</v>
      </c>
      <c r="AC37" s="47">
        <f t="shared" si="17"/>
        <v>6027.92</v>
      </c>
      <c r="AD37" s="47">
        <f t="shared" si="17"/>
        <v>6546.88</v>
      </c>
      <c r="AE37" s="47">
        <f t="shared" si="17"/>
        <v>7105.76</v>
      </c>
      <c r="AF37" s="47">
        <f t="shared" si="17"/>
        <v>7584.8</v>
      </c>
      <c r="AG37" s="47">
        <f t="shared" si="17"/>
        <v>8063.84</v>
      </c>
      <c r="AH37" s="47">
        <f t="shared" si="17"/>
        <v>8582.7999999999993</v>
      </c>
      <c r="AI37" s="47">
        <f t="shared" si="17"/>
        <v>9141.68</v>
      </c>
      <c r="AJ37" s="47">
        <f t="shared" si="17"/>
        <v>9740.48</v>
      </c>
      <c r="AK37" s="47">
        <f t="shared" si="17"/>
        <v>10339.279999999999</v>
      </c>
      <c r="AL37" s="47">
        <f t="shared" si="17"/>
        <v>10818.32</v>
      </c>
      <c r="AM37" s="47">
        <f t="shared" si="17"/>
        <v>11337.279999999999</v>
      </c>
      <c r="AN37" s="51">
        <f t="shared" si="12"/>
        <v>4590.8000000000011</v>
      </c>
      <c r="AO37" s="51">
        <f t="shared" si="13"/>
        <v>30339.200000000004</v>
      </c>
      <c r="AP37" s="51">
        <f t="shared" si="14"/>
        <v>100837.92000000001</v>
      </c>
    </row>
    <row r="38" spans="2:42" ht="15" customHeight="1">
      <c r="B38" s="45" t="s">
        <v>181</v>
      </c>
      <c r="D38" s="47">
        <f t="shared" ref="D38:AM38" si="18">D32*D17*D13</f>
        <v>0</v>
      </c>
      <c r="E38" s="47">
        <f t="shared" si="18"/>
        <v>0</v>
      </c>
      <c r="F38" s="47">
        <f t="shared" si="18"/>
        <v>0</v>
      </c>
      <c r="G38" s="47">
        <f t="shared" si="18"/>
        <v>0</v>
      </c>
      <c r="H38" s="47">
        <f t="shared" si="18"/>
        <v>0</v>
      </c>
      <c r="I38" s="47">
        <f t="shared" si="18"/>
        <v>0</v>
      </c>
      <c r="J38" s="47">
        <f t="shared" si="18"/>
        <v>0</v>
      </c>
      <c r="K38" s="47">
        <f t="shared" si="18"/>
        <v>54.15</v>
      </c>
      <c r="L38" s="47">
        <f t="shared" si="18"/>
        <v>67.649999999999991</v>
      </c>
      <c r="M38" s="47">
        <f t="shared" si="18"/>
        <v>81.150000000000006</v>
      </c>
      <c r="N38" s="47">
        <f t="shared" si="18"/>
        <v>97.35</v>
      </c>
      <c r="O38" s="47">
        <f t="shared" si="18"/>
        <v>111.89999999999999</v>
      </c>
      <c r="P38" s="47">
        <f t="shared" si="18"/>
        <v>128.69999999999999</v>
      </c>
      <c r="Q38" s="47">
        <f t="shared" si="18"/>
        <v>148.05000000000001</v>
      </c>
      <c r="R38" s="47">
        <f t="shared" si="18"/>
        <v>170.25</v>
      </c>
      <c r="S38" s="47">
        <f t="shared" si="18"/>
        <v>204.3</v>
      </c>
      <c r="T38" s="47">
        <f t="shared" si="18"/>
        <v>245.09999999999997</v>
      </c>
      <c r="U38" s="47">
        <f t="shared" si="18"/>
        <v>281.84999999999997</v>
      </c>
      <c r="V38" s="47">
        <f t="shared" si="18"/>
        <v>324.14999999999998</v>
      </c>
      <c r="W38" s="47">
        <f t="shared" si="18"/>
        <v>363</v>
      </c>
      <c r="X38" s="47">
        <f t="shared" si="18"/>
        <v>406.5</v>
      </c>
      <c r="Y38" s="47">
        <f t="shared" si="18"/>
        <v>447.15</v>
      </c>
      <c r="Z38" s="47">
        <f t="shared" si="18"/>
        <v>491.84999999999997</v>
      </c>
      <c r="AA38" s="47">
        <f t="shared" si="18"/>
        <v>541.04999999999995</v>
      </c>
      <c r="AB38" s="47">
        <f t="shared" si="18"/>
        <v>595.19999999999993</v>
      </c>
      <c r="AC38" s="47">
        <f t="shared" si="18"/>
        <v>654.75</v>
      </c>
      <c r="AD38" s="47">
        <f t="shared" si="18"/>
        <v>707.09999999999991</v>
      </c>
      <c r="AE38" s="47">
        <f t="shared" si="18"/>
        <v>763.65</v>
      </c>
      <c r="AF38" s="47">
        <f t="shared" si="18"/>
        <v>824.7</v>
      </c>
      <c r="AG38" s="47">
        <f t="shared" si="18"/>
        <v>890.69999999999993</v>
      </c>
      <c r="AH38" s="47">
        <f t="shared" si="18"/>
        <v>953.1</v>
      </c>
      <c r="AI38" s="47">
        <f t="shared" si="18"/>
        <v>1019.85</v>
      </c>
      <c r="AJ38" s="47">
        <f t="shared" si="18"/>
        <v>1091.25</v>
      </c>
      <c r="AK38" s="47">
        <f t="shared" si="18"/>
        <v>1167.5999999999999</v>
      </c>
      <c r="AL38" s="47">
        <f t="shared" si="18"/>
        <v>1237.6500000000001</v>
      </c>
      <c r="AM38" s="47">
        <f t="shared" si="18"/>
        <v>1311.9</v>
      </c>
      <c r="AN38" s="51">
        <f t="shared" si="12"/>
        <v>412.19999999999993</v>
      </c>
      <c r="AO38" s="51">
        <f t="shared" si="13"/>
        <v>3751.95</v>
      </c>
      <c r="AP38" s="51">
        <f t="shared" si="14"/>
        <v>11217.449999999999</v>
      </c>
    </row>
    <row r="39" spans="2:42" ht="15" customHeight="1">
      <c r="B39" s="55" t="s">
        <v>182</v>
      </c>
      <c r="D39" s="51">
        <f t="shared" ref="D39:AM39" si="19">D34+D35+D36+D37+D38</f>
        <v>282.15200000000004</v>
      </c>
      <c r="E39" s="51">
        <f t="shared" si="19"/>
        <v>423.22800000000001</v>
      </c>
      <c r="F39" s="51">
        <f t="shared" si="19"/>
        <v>564.30400000000009</v>
      </c>
      <c r="G39" s="51">
        <f t="shared" si="19"/>
        <v>705.38</v>
      </c>
      <c r="H39" s="51">
        <f t="shared" si="19"/>
        <v>846.45600000000002</v>
      </c>
      <c r="I39" s="51">
        <f t="shared" si="19"/>
        <v>987.53200000000004</v>
      </c>
      <c r="J39" s="51">
        <f t="shared" si="19"/>
        <v>1128.6080000000002</v>
      </c>
      <c r="K39" s="51">
        <f t="shared" si="19"/>
        <v>1464.91</v>
      </c>
      <c r="L39" s="51">
        <f t="shared" si="19"/>
        <v>1760.5620000000001</v>
      </c>
      <c r="M39" s="51">
        <f t="shared" si="19"/>
        <v>2197.2900000000004</v>
      </c>
      <c r="N39" s="51">
        <f t="shared" si="19"/>
        <v>2777.7939999999999</v>
      </c>
      <c r="O39" s="51">
        <f t="shared" si="19"/>
        <v>3497.7240000000002</v>
      </c>
      <c r="P39" s="51">
        <f t="shared" si="19"/>
        <v>3937.752</v>
      </c>
      <c r="Q39" s="51">
        <f t="shared" si="19"/>
        <v>4380.3300000000008</v>
      </c>
      <c r="R39" s="51">
        <f t="shared" si="19"/>
        <v>4966.8340000000007</v>
      </c>
      <c r="S39" s="51">
        <f t="shared" si="19"/>
        <v>5706.2640000000001</v>
      </c>
      <c r="T39" s="51">
        <f t="shared" si="19"/>
        <v>6452.4439999999995</v>
      </c>
      <c r="U39" s="51">
        <f t="shared" si="19"/>
        <v>7335.65</v>
      </c>
      <c r="V39" s="51">
        <f t="shared" si="19"/>
        <v>8506.5580000000009</v>
      </c>
      <c r="W39" s="51">
        <f t="shared" si="19"/>
        <v>9956.1680000000015</v>
      </c>
      <c r="X39" s="51">
        <f t="shared" si="19"/>
        <v>11551.504000000001</v>
      </c>
      <c r="Y39" s="51">
        <f t="shared" si="19"/>
        <v>13567.217999999999</v>
      </c>
      <c r="Z39" s="51">
        <f t="shared" si="19"/>
        <v>15869.134</v>
      </c>
      <c r="AA39" s="51">
        <f t="shared" si="19"/>
        <v>18739.853999999999</v>
      </c>
      <c r="AB39" s="51">
        <f t="shared" si="19"/>
        <v>20204.763999999999</v>
      </c>
      <c r="AC39" s="51">
        <f t="shared" si="19"/>
        <v>21957.226000000002</v>
      </c>
      <c r="AD39" s="51">
        <f t="shared" si="19"/>
        <v>23843.563999999998</v>
      </c>
      <c r="AE39" s="51">
        <f t="shared" si="19"/>
        <v>25875.178</v>
      </c>
      <c r="AF39" s="51">
        <f t="shared" si="19"/>
        <v>27629.14</v>
      </c>
      <c r="AG39" s="51">
        <f t="shared" si="19"/>
        <v>29388.052000000003</v>
      </c>
      <c r="AH39" s="51">
        <f t="shared" si="19"/>
        <v>31284.44</v>
      </c>
      <c r="AI39" s="51">
        <f t="shared" si="19"/>
        <v>33326.254000000001</v>
      </c>
      <c r="AJ39" s="51">
        <f t="shared" si="19"/>
        <v>35513.793999999994</v>
      </c>
      <c r="AK39" s="51">
        <f t="shared" si="19"/>
        <v>37706.283999999992</v>
      </c>
      <c r="AL39" s="51">
        <f t="shared" si="19"/>
        <v>39469.246000000006</v>
      </c>
      <c r="AM39" s="51">
        <f t="shared" si="19"/>
        <v>41377.484000000004</v>
      </c>
      <c r="AN39" s="51">
        <f t="shared" si="12"/>
        <v>16635.940000000002</v>
      </c>
      <c r="AO39" s="51">
        <f t="shared" si="13"/>
        <v>110969.70999999999</v>
      </c>
      <c r="AP39" s="51">
        <f t="shared" si="14"/>
        <v>367575.42599999998</v>
      </c>
    </row>
    <row r="40" spans="2:42" ht="15" customHeight="1">
      <c r="B40" s="45" t="s">
        <v>183</v>
      </c>
      <c r="D40" s="48">
        <f t="shared" ref="D40:AM40" si="20">-D14*D39</f>
        <v>-5.6430400000000009</v>
      </c>
      <c r="E40" s="48">
        <f t="shared" si="20"/>
        <v>-8.4645600000000005</v>
      </c>
      <c r="F40" s="48">
        <f t="shared" si="20"/>
        <v>-11.286080000000002</v>
      </c>
      <c r="G40" s="48">
        <f t="shared" si="20"/>
        <v>-14.1076</v>
      </c>
      <c r="H40" s="48">
        <f t="shared" si="20"/>
        <v>-16.929120000000001</v>
      </c>
      <c r="I40" s="48">
        <f t="shared" si="20"/>
        <v>-19.750640000000001</v>
      </c>
      <c r="J40" s="48">
        <f t="shared" si="20"/>
        <v>-22.572160000000004</v>
      </c>
      <c r="K40" s="48">
        <f t="shared" si="20"/>
        <v>-29.298200000000001</v>
      </c>
      <c r="L40" s="48">
        <f t="shared" si="20"/>
        <v>-35.211240000000004</v>
      </c>
      <c r="M40" s="48">
        <f t="shared" si="20"/>
        <v>-43.945800000000013</v>
      </c>
      <c r="N40" s="48">
        <f t="shared" si="20"/>
        <v>-55.555880000000002</v>
      </c>
      <c r="O40" s="48">
        <f t="shared" si="20"/>
        <v>-69.954480000000004</v>
      </c>
      <c r="P40" s="48">
        <f t="shared" si="20"/>
        <v>-78.755039999999994</v>
      </c>
      <c r="Q40" s="48">
        <f t="shared" si="20"/>
        <v>-87.606600000000014</v>
      </c>
      <c r="R40" s="48">
        <f t="shared" si="20"/>
        <v>-99.336680000000015</v>
      </c>
      <c r="S40" s="48">
        <f t="shared" si="20"/>
        <v>-114.12528</v>
      </c>
      <c r="T40" s="48">
        <f t="shared" si="20"/>
        <v>-129.04888</v>
      </c>
      <c r="U40" s="48">
        <f t="shared" si="20"/>
        <v>-146.71299999999999</v>
      </c>
      <c r="V40" s="48">
        <f t="shared" si="20"/>
        <v>-170.13116000000002</v>
      </c>
      <c r="W40" s="48">
        <f t="shared" si="20"/>
        <v>-199.12336000000005</v>
      </c>
      <c r="X40" s="48">
        <f t="shared" si="20"/>
        <v>-231.03008000000003</v>
      </c>
      <c r="Y40" s="48">
        <f t="shared" si="20"/>
        <v>-271.34435999999999</v>
      </c>
      <c r="Z40" s="48">
        <f t="shared" si="20"/>
        <v>-317.38267999999999</v>
      </c>
      <c r="AA40" s="48">
        <f t="shared" si="20"/>
        <v>-374.79707999999999</v>
      </c>
      <c r="AB40" s="48">
        <f t="shared" si="20"/>
        <v>-404.09528</v>
      </c>
      <c r="AC40" s="48">
        <f t="shared" si="20"/>
        <v>-439.14452000000006</v>
      </c>
      <c r="AD40" s="48">
        <f t="shared" si="20"/>
        <v>-476.87127999999996</v>
      </c>
      <c r="AE40" s="48">
        <f t="shared" si="20"/>
        <v>-517.50355999999999</v>
      </c>
      <c r="AF40" s="48">
        <f t="shared" si="20"/>
        <v>-552.58280000000002</v>
      </c>
      <c r="AG40" s="48">
        <f t="shared" si="20"/>
        <v>-587.76104000000009</v>
      </c>
      <c r="AH40" s="48">
        <f t="shared" si="20"/>
        <v>-625.68880000000001</v>
      </c>
      <c r="AI40" s="48">
        <f t="shared" si="20"/>
        <v>-666.52508</v>
      </c>
      <c r="AJ40" s="48">
        <f t="shared" si="20"/>
        <v>-710.27587999999992</v>
      </c>
      <c r="AK40" s="48">
        <f t="shared" si="20"/>
        <v>-754.12567999999987</v>
      </c>
      <c r="AL40" s="48">
        <f t="shared" si="20"/>
        <v>-789.38492000000019</v>
      </c>
      <c r="AM40" s="48">
        <f t="shared" si="20"/>
        <v>-827.54968000000008</v>
      </c>
      <c r="AN40" s="51">
        <f t="shared" si="12"/>
        <v>-332.71880000000004</v>
      </c>
      <c r="AO40" s="51">
        <f t="shared" si="13"/>
        <v>-2219.3942000000002</v>
      </c>
      <c r="AP40" s="51">
        <f t="shared" si="14"/>
        <v>-7351.5085200000012</v>
      </c>
    </row>
    <row r="41" spans="2:42" ht="15" customHeight="1">
      <c r="B41" s="55" t="s">
        <v>184</v>
      </c>
      <c r="D41" s="51">
        <f t="shared" ref="D41:AM41" si="21">D39+D40</f>
        <v>276.50896000000006</v>
      </c>
      <c r="E41" s="51">
        <f t="shared" si="21"/>
        <v>414.76344</v>
      </c>
      <c r="F41" s="51">
        <f t="shared" si="21"/>
        <v>553.01792000000012</v>
      </c>
      <c r="G41" s="51">
        <f t="shared" si="21"/>
        <v>691.27239999999995</v>
      </c>
      <c r="H41" s="51">
        <f t="shared" si="21"/>
        <v>829.52688000000001</v>
      </c>
      <c r="I41" s="51">
        <f t="shared" si="21"/>
        <v>967.78136000000006</v>
      </c>
      <c r="J41" s="51">
        <f t="shared" si="21"/>
        <v>1106.0358400000002</v>
      </c>
      <c r="K41" s="51">
        <f t="shared" si="21"/>
        <v>1435.6118000000001</v>
      </c>
      <c r="L41" s="51">
        <f t="shared" si="21"/>
        <v>1725.35076</v>
      </c>
      <c r="M41" s="51">
        <f t="shared" si="21"/>
        <v>2153.3442000000005</v>
      </c>
      <c r="N41" s="51">
        <f t="shared" si="21"/>
        <v>2722.23812</v>
      </c>
      <c r="O41" s="51">
        <f t="shared" si="21"/>
        <v>3427.7695200000003</v>
      </c>
      <c r="P41" s="51">
        <f t="shared" si="21"/>
        <v>3858.9969599999999</v>
      </c>
      <c r="Q41" s="51">
        <f t="shared" si="21"/>
        <v>4292.7234000000008</v>
      </c>
      <c r="R41" s="51">
        <f t="shared" si="21"/>
        <v>4867.4973200000004</v>
      </c>
      <c r="S41" s="51">
        <f t="shared" si="21"/>
        <v>5592.1387199999999</v>
      </c>
      <c r="T41" s="51">
        <f t="shared" si="21"/>
        <v>6323.3951199999992</v>
      </c>
      <c r="U41" s="51">
        <f t="shared" si="21"/>
        <v>7188.9369999999999</v>
      </c>
      <c r="V41" s="51">
        <f t="shared" si="21"/>
        <v>8336.4268400000001</v>
      </c>
      <c r="W41" s="51">
        <f t="shared" si="21"/>
        <v>9757.0446400000019</v>
      </c>
      <c r="X41" s="51">
        <f t="shared" si="21"/>
        <v>11320.47392</v>
      </c>
      <c r="Y41" s="51">
        <f t="shared" si="21"/>
        <v>13295.87364</v>
      </c>
      <c r="Z41" s="51">
        <f t="shared" si="21"/>
        <v>15551.751319999999</v>
      </c>
      <c r="AA41" s="51">
        <f t="shared" si="21"/>
        <v>18365.056919999999</v>
      </c>
      <c r="AB41" s="51">
        <f t="shared" si="21"/>
        <v>19800.668719999998</v>
      </c>
      <c r="AC41" s="51">
        <f t="shared" si="21"/>
        <v>21518.081480000001</v>
      </c>
      <c r="AD41" s="51">
        <f t="shared" si="21"/>
        <v>23366.692719999999</v>
      </c>
      <c r="AE41" s="51">
        <f t="shared" si="21"/>
        <v>25357.674439999999</v>
      </c>
      <c r="AF41" s="51">
        <f t="shared" si="21"/>
        <v>27076.557199999999</v>
      </c>
      <c r="AG41" s="51">
        <f t="shared" si="21"/>
        <v>28800.290960000002</v>
      </c>
      <c r="AH41" s="51">
        <f t="shared" si="21"/>
        <v>30658.751199999999</v>
      </c>
      <c r="AI41" s="51">
        <f t="shared" si="21"/>
        <v>32659.728920000001</v>
      </c>
      <c r="AJ41" s="51">
        <f t="shared" si="21"/>
        <v>34803.518119999993</v>
      </c>
      <c r="AK41" s="51">
        <f t="shared" si="21"/>
        <v>36952.158319999995</v>
      </c>
      <c r="AL41" s="51">
        <f t="shared" si="21"/>
        <v>38679.86108000001</v>
      </c>
      <c r="AM41" s="51">
        <f t="shared" si="21"/>
        <v>40549.93432</v>
      </c>
      <c r="AN41" s="51">
        <f t="shared" si="12"/>
        <v>16303.2212</v>
      </c>
      <c r="AO41" s="51">
        <f t="shared" si="13"/>
        <v>108750.3158</v>
      </c>
      <c r="AP41" s="51">
        <f t="shared" si="14"/>
        <v>360223.91748</v>
      </c>
    </row>
    <row r="42" spans="2:42" ht="15" customHeight="1">
      <c r="B42" s="52" t="s">
        <v>171</v>
      </c>
      <c r="D42" s="20" t="s">
        <v>185</v>
      </c>
      <c r="E42" s="53">
        <f t="shared" ref="E42:AM42" si="22">IF(D41&gt;0,(E41-D41)/D41,"N/A")</f>
        <v>0.49999999999999967</v>
      </c>
      <c r="F42" s="53">
        <f t="shared" si="22"/>
        <v>0.33333333333333359</v>
      </c>
      <c r="G42" s="53">
        <f t="shared" si="22"/>
        <v>0.24999999999999964</v>
      </c>
      <c r="H42" s="53">
        <f t="shared" si="22"/>
        <v>0.20000000000000009</v>
      </c>
      <c r="I42" s="53">
        <f t="shared" si="22"/>
        <v>0.16666666666666674</v>
      </c>
      <c r="J42" s="53">
        <f t="shared" si="22"/>
        <v>0.14285714285714302</v>
      </c>
      <c r="K42" s="53">
        <f t="shared" si="22"/>
        <v>0.29797945788085839</v>
      </c>
      <c r="L42" s="53">
        <f t="shared" si="22"/>
        <v>0.20182263756817817</v>
      </c>
      <c r="M42" s="53">
        <f t="shared" si="22"/>
        <v>0.24806169848037185</v>
      </c>
      <c r="N42" s="53">
        <f t="shared" si="22"/>
        <v>0.26419088968684123</v>
      </c>
      <c r="O42" s="53">
        <f t="shared" si="22"/>
        <v>0.25917328642800735</v>
      </c>
      <c r="P42" s="53">
        <f t="shared" si="22"/>
        <v>0.12580409431962031</v>
      </c>
      <c r="Q42" s="53">
        <f t="shared" si="22"/>
        <v>0.11239356871636427</v>
      </c>
      <c r="R42" s="53">
        <f t="shared" si="22"/>
        <v>0.13389493485650614</v>
      </c>
      <c r="S42" s="53">
        <f t="shared" si="22"/>
        <v>0.14887350775161792</v>
      </c>
      <c r="T42" s="53">
        <f t="shared" si="22"/>
        <v>0.13076506800246174</v>
      </c>
      <c r="U42" s="53">
        <f t="shared" si="22"/>
        <v>0.13687929720893366</v>
      </c>
      <c r="V42" s="53">
        <f t="shared" si="22"/>
        <v>0.15961884768220952</v>
      </c>
      <c r="W42" s="53">
        <f t="shared" si="22"/>
        <v>0.1704108759383057</v>
      </c>
      <c r="X42" s="53">
        <f t="shared" si="22"/>
        <v>0.16023594619938095</v>
      </c>
      <c r="Y42" s="53">
        <f t="shared" si="22"/>
        <v>0.1744979701344517</v>
      </c>
      <c r="Z42" s="53">
        <f t="shared" si="22"/>
        <v>0.1696675029471775</v>
      </c>
      <c r="AA42" s="53">
        <f t="shared" si="22"/>
        <v>0.1808996004444855</v>
      </c>
      <c r="AB42" s="53">
        <f t="shared" si="22"/>
        <v>7.817083313455904E-2</v>
      </c>
      <c r="AC42" s="53">
        <f t="shared" si="22"/>
        <v>8.6735088813707659E-2</v>
      </c>
      <c r="AD42" s="53">
        <f t="shared" si="22"/>
        <v>8.5909668188504248E-2</v>
      </c>
      <c r="AE42" s="53">
        <f t="shared" si="22"/>
        <v>8.5205970047095306E-2</v>
      </c>
      <c r="AF42" s="53">
        <f t="shared" si="22"/>
        <v>6.7785504702615018E-2</v>
      </c>
      <c r="AG42" s="53">
        <f t="shared" si="22"/>
        <v>6.3661482043958037E-2</v>
      </c>
      <c r="AH42" s="53">
        <f t="shared" si="22"/>
        <v>6.4529217520099547E-2</v>
      </c>
      <c r="AI42" s="53">
        <f t="shared" si="22"/>
        <v>6.5266119515004994E-2</v>
      </c>
      <c r="AJ42" s="53">
        <f t="shared" si="22"/>
        <v>6.5640140653071652E-2</v>
      </c>
      <c r="AK42" s="53">
        <f t="shared" si="22"/>
        <v>6.1736293227358421E-2</v>
      </c>
      <c r="AL42" s="53">
        <f t="shared" si="22"/>
        <v>4.6755124424353652E-2</v>
      </c>
      <c r="AM42" s="53">
        <f t="shared" si="22"/>
        <v>4.8347465264474268E-2</v>
      </c>
    </row>
  </sheetData>
  <mergeCells count="6">
    <mergeCell ref="B33:AP33"/>
    <mergeCell ref="B1:AP1"/>
    <mergeCell ref="AQ4:AQ10"/>
    <mergeCell ref="B5:AP5"/>
    <mergeCell ref="B22:AP22"/>
    <mergeCell ref="B29:AP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1:AQ52"/>
  <sheetViews>
    <sheetView showGridLines="0" zoomScaleNormal="100" workbookViewId="0">
      <pane xSplit="3" ySplit="3" topLeftCell="S26" activePane="bottomRight" state="frozen"/>
      <selection pane="topRight" activeCell="D1" sqref="D1"/>
      <selection pane="bottomLeft" activeCell="A4" sqref="A4"/>
      <selection pane="bottomRight" activeCell="D49" sqref="D49"/>
    </sheetView>
  </sheetViews>
  <sheetFormatPr baseColWidth="10" defaultColWidth="8.6640625" defaultRowHeight="15"/>
  <cols>
    <col min="1" max="1" width="3" customWidth="1"/>
    <col min="2" max="2" width="35.5" customWidth="1"/>
    <col min="3" max="3" width="12" customWidth="1"/>
    <col min="4" max="39" width="10" customWidth="1"/>
    <col min="40" max="42" width="14" customWidth="1"/>
    <col min="43" max="43" width="36.5" customWidth="1"/>
  </cols>
  <sheetData>
    <row r="1" spans="2:42" ht="24.75" customHeight="1">
      <c r="B1" s="13" t="s">
        <v>186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 spans="2:42" ht="15" customHeight="1">
      <c r="B2" s="34" t="s">
        <v>187</v>
      </c>
      <c r="C2" s="34" t="s">
        <v>103</v>
      </c>
      <c r="D2" s="34" t="s">
        <v>32</v>
      </c>
      <c r="E2" s="34" t="s">
        <v>32</v>
      </c>
      <c r="F2" s="34" t="s">
        <v>32</v>
      </c>
      <c r="G2" s="34" t="s">
        <v>32</v>
      </c>
      <c r="H2" s="34" t="s">
        <v>32</v>
      </c>
      <c r="I2" s="34" t="s">
        <v>32</v>
      </c>
      <c r="J2" s="34" t="s">
        <v>32</v>
      </c>
      <c r="K2" s="34" t="s">
        <v>32</v>
      </c>
      <c r="L2" s="34" t="s">
        <v>32</v>
      </c>
      <c r="M2" s="34" t="s">
        <v>32</v>
      </c>
      <c r="N2" s="34" t="s">
        <v>32</v>
      </c>
      <c r="O2" s="34" t="s">
        <v>32</v>
      </c>
      <c r="P2" s="34" t="s">
        <v>33</v>
      </c>
      <c r="Q2" s="34" t="s">
        <v>33</v>
      </c>
      <c r="R2" s="34" t="s">
        <v>33</v>
      </c>
      <c r="S2" s="34" t="s">
        <v>33</v>
      </c>
      <c r="T2" s="34" t="s">
        <v>33</v>
      </c>
      <c r="U2" s="34" t="s">
        <v>33</v>
      </c>
      <c r="V2" s="34" t="s">
        <v>33</v>
      </c>
      <c r="W2" s="34" t="s">
        <v>33</v>
      </c>
      <c r="X2" s="34" t="s">
        <v>33</v>
      </c>
      <c r="Y2" s="34" t="s">
        <v>33</v>
      </c>
      <c r="Z2" s="34" t="s">
        <v>33</v>
      </c>
      <c r="AA2" s="34" t="s">
        <v>33</v>
      </c>
      <c r="AB2" s="34" t="s">
        <v>34</v>
      </c>
      <c r="AC2" s="34" t="s">
        <v>34</v>
      </c>
      <c r="AD2" s="34" t="s">
        <v>34</v>
      </c>
      <c r="AE2" s="34" t="s">
        <v>34</v>
      </c>
      <c r="AF2" s="34" t="s">
        <v>34</v>
      </c>
      <c r="AG2" s="34" t="s">
        <v>34</v>
      </c>
      <c r="AH2" s="34" t="s">
        <v>34</v>
      </c>
      <c r="AI2" s="34" t="s">
        <v>34</v>
      </c>
      <c r="AJ2" s="34" t="s">
        <v>34</v>
      </c>
      <c r="AK2" s="34" t="s">
        <v>34</v>
      </c>
      <c r="AL2" s="34" t="s">
        <v>34</v>
      </c>
      <c r="AM2" s="34" t="s">
        <v>34</v>
      </c>
      <c r="AN2" s="35" t="s">
        <v>99</v>
      </c>
      <c r="AO2" s="35" t="s">
        <v>100</v>
      </c>
      <c r="AP2" s="35" t="s">
        <v>101</v>
      </c>
    </row>
    <row r="3" spans="2:42" ht="15" customHeight="1">
      <c r="B3" s="36" t="s">
        <v>188</v>
      </c>
      <c r="C3" s="36" t="s">
        <v>103</v>
      </c>
      <c r="D3" s="37" t="s">
        <v>104</v>
      </c>
      <c r="E3" s="37" t="s">
        <v>105</v>
      </c>
      <c r="F3" s="37" t="s">
        <v>106</v>
      </c>
      <c r="G3" s="37" t="s">
        <v>107</v>
      </c>
      <c r="H3" s="37" t="s">
        <v>108</v>
      </c>
      <c r="I3" s="37" t="s">
        <v>109</v>
      </c>
      <c r="J3" s="37" t="s">
        <v>110</v>
      </c>
      <c r="K3" s="37" t="s">
        <v>111</v>
      </c>
      <c r="L3" s="37" t="s">
        <v>112</v>
      </c>
      <c r="M3" s="37" t="s">
        <v>113</v>
      </c>
      <c r="N3" s="37" t="s">
        <v>114</v>
      </c>
      <c r="O3" s="37" t="s">
        <v>115</v>
      </c>
      <c r="P3" s="37" t="s">
        <v>116</v>
      </c>
      <c r="Q3" s="37" t="s">
        <v>117</v>
      </c>
      <c r="R3" s="37" t="s">
        <v>118</v>
      </c>
      <c r="S3" s="37" t="s">
        <v>119</v>
      </c>
      <c r="T3" s="37" t="s">
        <v>120</v>
      </c>
      <c r="U3" s="37" t="s">
        <v>121</v>
      </c>
      <c r="V3" s="37" t="s">
        <v>122</v>
      </c>
      <c r="W3" s="37" t="s">
        <v>123</v>
      </c>
      <c r="X3" s="37" t="s">
        <v>124</v>
      </c>
      <c r="Y3" s="37" t="s">
        <v>125</v>
      </c>
      <c r="Z3" s="37" t="s">
        <v>126</v>
      </c>
      <c r="AA3" s="37" t="s">
        <v>127</v>
      </c>
      <c r="AB3" s="37" t="s">
        <v>128</v>
      </c>
      <c r="AC3" s="37" t="s">
        <v>129</v>
      </c>
      <c r="AD3" s="37" t="s">
        <v>130</v>
      </c>
      <c r="AE3" s="37" t="s">
        <v>131</v>
      </c>
      <c r="AF3" s="37" t="s">
        <v>132</v>
      </c>
      <c r="AG3" s="37" t="s">
        <v>133</v>
      </c>
      <c r="AH3" s="37" t="s">
        <v>134</v>
      </c>
      <c r="AI3" s="37" t="s">
        <v>135</v>
      </c>
      <c r="AJ3" s="37" t="s">
        <v>136</v>
      </c>
      <c r="AK3" s="37" t="s">
        <v>137</v>
      </c>
      <c r="AL3" s="37" t="s">
        <v>138</v>
      </c>
      <c r="AM3" s="37" t="s">
        <v>139</v>
      </c>
      <c r="AN3" s="36" t="s">
        <v>99</v>
      </c>
      <c r="AO3" s="36" t="s">
        <v>100</v>
      </c>
      <c r="AP3" s="36" t="s">
        <v>101</v>
      </c>
    </row>
    <row r="4" spans="2:42" ht="15" customHeight="1">
      <c r="B4" s="94" t="s">
        <v>189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</row>
    <row r="5" spans="2:42" ht="15" customHeight="1">
      <c r="B5" s="45" t="s">
        <v>190</v>
      </c>
      <c r="C5" s="56"/>
      <c r="D5" s="57">
        <v>0.02</v>
      </c>
      <c r="E5" s="57">
        <v>0.02</v>
      </c>
      <c r="F5" s="57">
        <v>0.02</v>
      </c>
      <c r="G5" s="57">
        <v>0.02</v>
      </c>
      <c r="H5" s="57">
        <v>0.02</v>
      </c>
      <c r="I5" s="57">
        <v>0.02</v>
      </c>
      <c r="J5" s="57">
        <v>0.02</v>
      </c>
      <c r="K5" s="57">
        <v>0.02</v>
      </c>
      <c r="L5" s="57">
        <v>0.02</v>
      </c>
      <c r="M5" s="57">
        <v>0.02</v>
      </c>
      <c r="N5" s="57">
        <v>0.02</v>
      </c>
      <c r="O5" s="57">
        <v>0.02</v>
      </c>
      <c r="P5" s="57">
        <v>0.02</v>
      </c>
      <c r="Q5" s="57">
        <v>0.02</v>
      </c>
      <c r="R5" s="57">
        <v>0.02</v>
      </c>
      <c r="S5" s="57">
        <v>0.02</v>
      </c>
      <c r="T5" s="57">
        <v>0.02</v>
      </c>
      <c r="U5" s="57">
        <v>0.02</v>
      </c>
      <c r="V5" s="57">
        <v>0.02</v>
      </c>
      <c r="W5" s="57">
        <v>0.02</v>
      </c>
      <c r="X5" s="57">
        <v>0.02</v>
      </c>
      <c r="Y5" s="57">
        <v>0.02</v>
      </c>
      <c r="Z5" s="57">
        <v>0.02</v>
      </c>
      <c r="AA5" s="57">
        <v>0.02</v>
      </c>
      <c r="AB5" s="57">
        <v>0.02</v>
      </c>
      <c r="AC5" s="57">
        <v>0.02</v>
      </c>
      <c r="AD5" s="57">
        <v>0.02</v>
      </c>
      <c r="AE5" s="57">
        <v>0.02</v>
      </c>
      <c r="AF5" s="57">
        <v>0.02</v>
      </c>
      <c r="AG5" s="57">
        <v>0.02</v>
      </c>
      <c r="AH5" s="57">
        <v>0.02</v>
      </c>
      <c r="AI5" s="57">
        <v>0.02</v>
      </c>
      <c r="AJ5" s="57">
        <v>0.02</v>
      </c>
      <c r="AK5" s="57">
        <v>0.02</v>
      </c>
      <c r="AL5" s="57">
        <v>0.02</v>
      </c>
      <c r="AM5" s="57">
        <v>0.02</v>
      </c>
    </row>
    <row r="6" spans="2:42" ht="15" customHeight="1">
      <c r="B6" s="45" t="s">
        <v>191</v>
      </c>
      <c r="C6" s="58" t="s">
        <v>156</v>
      </c>
      <c r="D6" s="57">
        <f t="shared" ref="D6:AM6" si="0">D5*3</f>
        <v>0.06</v>
      </c>
      <c r="E6" s="57">
        <f t="shared" si="0"/>
        <v>0.06</v>
      </c>
      <c r="F6" s="57">
        <f t="shared" si="0"/>
        <v>0.06</v>
      </c>
      <c r="G6" s="57">
        <f t="shared" si="0"/>
        <v>0.06</v>
      </c>
      <c r="H6" s="57">
        <f t="shared" si="0"/>
        <v>0.06</v>
      </c>
      <c r="I6" s="57">
        <f t="shared" si="0"/>
        <v>0.06</v>
      </c>
      <c r="J6" s="57">
        <f t="shared" si="0"/>
        <v>0.06</v>
      </c>
      <c r="K6" s="57">
        <f t="shared" si="0"/>
        <v>0.06</v>
      </c>
      <c r="L6" s="57">
        <f t="shared" si="0"/>
        <v>0.06</v>
      </c>
      <c r="M6" s="57">
        <f t="shared" si="0"/>
        <v>0.06</v>
      </c>
      <c r="N6" s="57">
        <f t="shared" si="0"/>
        <v>0.06</v>
      </c>
      <c r="O6" s="57">
        <f t="shared" si="0"/>
        <v>0.06</v>
      </c>
      <c r="P6" s="57">
        <f t="shared" si="0"/>
        <v>0.06</v>
      </c>
      <c r="Q6" s="57">
        <f t="shared" si="0"/>
        <v>0.06</v>
      </c>
      <c r="R6" s="57">
        <f t="shared" si="0"/>
        <v>0.06</v>
      </c>
      <c r="S6" s="57">
        <f t="shared" si="0"/>
        <v>0.06</v>
      </c>
      <c r="T6" s="57">
        <f t="shared" si="0"/>
        <v>0.06</v>
      </c>
      <c r="U6" s="57">
        <f t="shared" si="0"/>
        <v>0.06</v>
      </c>
      <c r="V6" s="57">
        <f t="shared" si="0"/>
        <v>0.06</v>
      </c>
      <c r="W6" s="57">
        <f t="shared" si="0"/>
        <v>0.06</v>
      </c>
      <c r="X6" s="57">
        <f t="shared" si="0"/>
        <v>0.06</v>
      </c>
      <c r="Y6" s="57">
        <f t="shared" si="0"/>
        <v>0.06</v>
      </c>
      <c r="Z6" s="57">
        <f t="shared" si="0"/>
        <v>0.06</v>
      </c>
      <c r="AA6" s="57">
        <f t="shared" si="0"/>
        <v>0.06</v>
      </c>
      <c r="AB6" s="57">
        <f t="shared" si="0"/>
        <v>0.06</v>
      </c>
      <c r="AC6" s="57">
        <f t="shared" si="0"/>
        <v>0.06</v>
      </c>
      <c r="AD6" s="57">
        <f t="shared" si="0"/>
        <v>0.06</v>
      </c>
      <c r="AE6" s="57">
        <f t="shared" si="0"/>
        <v>0.06</v>
      </c>
      <c r="AF6" s="57">
        <f t="shared" si="0"/>
        <v>0.06</v>
      </c>
      <c r="AG6" s="57">
        <f t="shared" si="0"/>
        <v>0.06</v>
      </c>
      <c r="AH6" s="57">
        <f t="shared" si="0"/>
        <v>0.06</v>
      </c>
      <c r="AI6" s="57">
        <f t="shared" si="0"/>
        <v>0.06</v>
      </c>
      <c r="AJ6" s="57">
        <f t="shared" si="0"/>
        <v>0.06</v>
      </c>
      <c r="AK6" s="57">
        <f t="shared" si="0"/>
        <v>0.06</v>
      </c>
      <c r="AL6" s="57">
        <f t="shared" si="0"/>
        <v>0.06</v>
      </c>
      <c r="AM6" s="57">
        <f t="shared" si="0"/>
        <v>0.06</v>
      </c>
    </row>
    <row r="7" spans="2:42" ht="15" customHeight="1">
      <c r="B7" s="45" t="s">
        <v>192</v>
      </c>
      <c r="C7" s="58" t="s">
        <v>193</v>
      </c>
      <c r="D7" s="40">
        <v>0.02</v>
      </c>
      <c r="E7" s="40">
        <v>0.02</v>
      </c>
      <c r="F7" s="40">
        <v>0.02</v>
      </c>
      <c r="G7" s="40">
        <v>0.02</v>
      </c>
      <c r="H7" s="40">
        <v>0.02</v>
      </c>
      <c r="I7" s="40">
        <v>0.02</v>
      </c>
      <c r="J7" s="40">
        <v>0.02</v>
      </c>
      <c r="K7" s="40">
        <v>0.02</v>
      </c>
      <c r="L7" s="40">
        <v>0.02</v>
      </c>
      <c r="M7" s="40">
        <v>0.02</v>
      </c>
      <c r="N7" s="40">
        <v>0.02</v>
      </c>
      <c r="O7" s="40">
        <v>0.02</v>
      </c>
      <c r="P7" s="40">
        <v>0.02</v>
      </c>
      <c r="Q7" s="40">
        <v>0.02</v>
      </c>
      <c r="R7" s="40">
        <v>0.02</v>
      </c>
      <c r="S7" s="40">
        <v>0.02</v>
      </c>
      <c r="T7" s="40">
        <v>0.02</v>
      </c>
      <c r="U7" s="40">
        <v>0.02</v>
      </c>
      <c r="V7" s="40">
        <v>0.02</v>
      </c>
      <c r="W7" s="40">
        <v>0.02</v>
      </c>
      <c r="X7" s="40">
        <v>0.02</v>
      </c>
      <c r="Y7" s="40">
        <v>0.02</v>
      </c>
      <c r="Z7" s="40">
        <v>0.02</v>
      </c>
      <c r="AA7" s="40">
        <v>0.02</v>
      </c>
      <c r="AB7" s="40">
        <v>0.02</v>
      </c>
      <c r="AC7" s="40">
        <v>0.02</v>
      </c>
      <c r="AD7" s="40">
        <v>0.02</v>
      </c>
      <c r="AE7" s="40">
        <v>0.02</v>
      </c>
      <c r="AF7" s="40">
        <v>0.02</v>
      </c>
      <c r="AG7" s="40">
        <v>0.02</v>
      </c>
      <c r="AH7" s="40">
        <v>0.02</v>
      </c>
      <c r="AI7" s="40">
        <v>0.02</v>
      </c>
      <c r="AJ7" s="40">
        <v>0.02</v>
      </c>
      <c r="AK7" s="40">
        <v>0.02</v>
      </c>
      <c r="AL7" s="40">
        <v>0.02</v>
      </c>
      <c r="AM7" s="40">
        <v>0.02</v>
      </c>
    </row>
    <row r="8" spans="2:42" ht="15" customHeight="1">
      <c r="B8" s="94" t="s">
        <v>194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</row>
    <row r="9" spans="2:42" ht="15" customHeight="1">
      <c r="B9" s="49" t="s">
        <v>195</v>
      </c>
    </row>
    <row r="10" spans="2:42" ht="15" customHeight="1">
      <c r="B10" s="59" t="s">
        <v>196</v>
      </c>
      <c r="D10" s="42">
        <v>1200</v>
      </c>
      <c r="E10" s="42">
        <v>1200</v>
      </c>
      <c r="F10" s="42">
        <v>1200</v>
      </c>
      <c r="G10" s="42">
        <v>1200</v>
      </c>
      <c r="H10" s="42">
        <v>1200</v>
      </c>
      <c r="I10" s="42">
        <v>1200</v>
      </c>
      <c r="J10" s="42">
        <v>1200</v>
      </c>
      <c r="K10" s="42">
        <v>1200</v>
      </c>
      <c r="L10" s="42">
        <v>1200</v>
      </c>
      <c r="M10" s="42">
        <v>1200</v>
      </c>
      <c r="N10" s="42">
        <v>1200</v>
      </c>
      <c r="O10" s="42">
        <v>1200</v>
      </c>
      <c r="P10" s="42">
        <v>2000</v>
      </c>
      <c r="Q10" s="42">
        <v>2000</v>
      </c>
      <c r="R10" s="42">
        <v>2000</v>
      </c>
      <c r="S10" s="42">
        <v>2000</v>
      </c>
      <c r="T10" s="42">
        <v>2000</v>
      </c>
      <c r="U10" s="42">
        <v>2000</v>
      </c>
      <c r="V10" s="42">
        <v>2000</v>
      </c>
      <c r="W10" s="42">
        <v>2000</v>
      </c>
      <c r="X10" s="42">
        <v>2000</v>
      </c>
      <c r="Y10" s="42">
        <v>2000</v>
      </c>
      <c r="Z10" s="42">
        <v>2000</v>
      </c>
      <c r="AA10" s="42">
        <v>2000</v>
      </c>
      <c r="AB10" s="42">
        <v>3000</v>
      </c>
      <c r="AC10" s="42">
        <v>3000</v>
      </c>
      <c r="AD10" s="42">
        <v>3000</v>
      </c>
      <c r="AE10" s="42">
        <v>3000</v>
      </c>
      <c r="AF10" s="42">
        <v>3000</v>
      </c>
      <c r="AG10" s="42">
        <v>3000</v>
      </c>
      <c r="AH10" s="42">
        <v>3000</v>
      </c>
      <c r="AI10" s="42">
        <v>3000</v>
      </c>
      <c r="AJ10" s="42">
        <v>3000</v>
      </c>
      <c r="AK10" s="42">
        <v>3000</v>
      </c>
      <c r="AL10" s="42">
        <v>3000</v>
      </c>
      <c r="AM10" s="42">
        <v>3000</v>
      </c>
    </row>
    <row r="11" spans="2:42" ht="15" customHeight="1">
      <c r="B11" s="59" t="s">
        <v>197</v>
      </c>
      <c r="D11" s="42">
        <v>1200</v>
      </c>
      <c r="E11" s="42">
        <v>1200</v>
      </c>
      <c r="F11" s="42">
        <v>1200</v>
      </c>
      <c r="G11" s="42">
        <v>1200</v>
      </c>
      <c r="H11" s="42">
        <v>1200</v>
      </c>
      <c r="I11" s="42">
        <v>1200</v>
      </c>
      <c r="J11" s="42">
        <v>1200</v>
      </c>
      <c r="K11" s="42">
        <v>1200</v>
      </c>
      <c r="L11" s="42">
        <v>1200</v>
      </c>
      <c r="M11" s="42">
        <v>1200</v>
      </c>
      <c r="N11" s="42">
        <v>1200</v>
      </c>
      <c r="O11" s="42">
        <v>1200</v>
      </c>
      <c r="P11" s="42">
        <v>2000</v>
      </c>
      <c r="Q11" s="42">
        <v>2000</v>
      </c>
      <c r="R11" s="42">
        <v>2000</v>
      </c>
      <c r="S11" s="42">
        <v>2000</v>
      </c>
      <c r="T11" s="42">
        <v>2000</v>
      </c>
      <c r="U11" s="42">
        <v>2000</v>
      </c>
      <c r="V11" s="42">
        <v>2000</v>
      </c>
      <c r="W11" s="42">
        <v>2000</v>
      </c>
      <c r="X11" s="42">
        <v>2000</v>
      </c>
      <c r="Y11" s="42">
        <v>2000</v>
      </c>
      <c r="Z11" s="42">
        <v>2000</v>
      </c>
      <c r="AA11" s="42">
        <v>2000</v>
      </c>
      <c r="AB11" s="42">
        <v>3000</v>
      </c>
      <c r="AC11" s="42">
        <v>3000</v>
      </c>
      <c r="AD11" s="42">
        <v>3000</v>
      </c>
      <c r="AE11" s="42">
        <v>3000</v>
      </c>
      <c r="AF11" s="42">
        <v>3000</v>
      </c>
      <c r="AG11" s="42">
        <v>3000</v>
      </c>
      <c r="AH11" s="42">
        <v>3000</v>
      </c>
      <c r="AI11" s="42">
        <v>3000</v>
      </c>
      <c r="AJ11" s="42">
        <v>3000</v>
      </c>
      <c r="AK11" s="42">
        <v>3000</v>
      </c>
      <c r="AL11" s="42">
        <v>3000</v>
      </c>
      <c r="AM11" s="42">
        <v>3000</v>
      </c>
    </row>
    <row r="12" spans="2:42" ht="15" customHeight="1">
      <c r="B12" s="59" t="s">
        <v>198</v>
      </c>
      <c r="D12" s="42">
        <v>1200</v>
      </c>
      <c r="E12" s="42">
        <v>1200</v>
      </c>
      <c r="F12" s="42">
        <v>1200</v>
      </c>
      <c r="G12" s="42">
        <v>1200</v>
      </c>
      <c r="H12" s="42">
        <v>1200</v>
      </c>
      <c r="I12" s="42">
        <v>1200</v>
      </c>
      <c r="J12" s="42">
        <v>1200</v>
      </c>
      <c r="K12" s="42">
        <v>1200</v>
      </c>
      <c r="L12" s="42">
        <v>1200</v>
      </c>
      <c r="M12" s="42">
        <v>1200</v>
      </c>
      <c r="N12" s="42">
        <v>1200</v>
      </c>
      <c r="O12" s="42">
        <v>1200</v>
      </c>
      <c r="P12" s="42">
        <v>2000</v>
      </c>
      <c r="Q12" s="42">
        <v>2000</v>
      </c>
      <c r="R12" s="42">
        <v>2000</v>
      </c>
      <c r="S12" s="42">
        <v>2000</v>
      </c>
      <c r="T12" s="42">
        <v>2000</v>
      </c>
      <c r="U12" s="42">
        <v>2000</v>
      </c>
      <c r="V12" s="42">
        <v>2000</v>
      </c>
      <c r="W12" s="42">
        <v>2000</v>
      </c>
      <c r="X12" s="42">
        <v>2000</v>
      </c>
      <c r="Y12" s="42">
        <v>2000</v>
      </c>
      <c r="Z12" s="42">
        <v>2000</v>
      </c>
      <c r="AA12" s="42">
        <v>2000</v>
      </c>
      <c r="AB12" s="42">
        <v>3000</v>
      </c>
      <c r="AC12" s="42">
        <v>3000</v>
      </c>
      <c r="AD12" s="42">
        <v>3000</v>
      </c>
      <c r="AE12" s="42">
        <v>3000</v>
      </c>
      <c r="AF12" s="42">
        <v>3000</v>
      </c>
      <c r="AG12" s="42">
        <v>3000</v>
      </c>
      <c r="AH12" s="42">
        <v>3000</v>
      </c>
      <c r="AI12" s="42">
        <v>3000</v>
      </c>
      <c r="AJ12" s="42">
        <v>3000</v>
      </c>
      <c r="AK12" s="42">
        <v>3000</v>
      </c>
      <c r="AL12" s="42">
        <v>3000</v>
      </c>
      <c r="AM12" s="42">
        <v>3000</v>
      </c>
    </row>
    <row r="13" spans="2:42" ht="15" customHeight="1">
      <c r="B13" s="59" t="s">
        <v>199</v>
      </c>
      <c r="D13" s="42">
        <v>1200</v>
      </c>
      <c r="E13" s="42">
        <v>1200</v>
      </c>
      <c r="F13" s="42">
        <v>1200</v>
      </c>
      <c r="G13" s="42">
        <v>1200</v>
      </c>
      <c r="H13" s="42">
        <v>1200</v>
      </c>
      <c r="I13" s="42">
        <v>1200</v>
      </c>
      <c r="J13" s="42">
        <v>1200</v>
      </c>
      <c r="K13" s="42">
        <v>1200</v>
      </c>
      <c r="L13" s="42">
        <v>1200</v>
      </c>
      <c r="M13" s="42">
        <v>1200</v>
      </c>
      <c r="N13" s="42">
        <v>1200</v>
      </c>
      <c r="O13" s="42">
        <v>1200</v>
      </c>
      <c r="P13" s="42">
        <v>2000</v>
      </c>
      <c r="Q13" s="42">
        <v>2000</v>
      </c>
      <c r="R13" s="42">
        <v>2000</v>
      </c>
      <c r="S13" s="42">
        <v>2000</v>
      </c>
      <c r="T13" s="42">
        <v>2000</v>
      </c>
      <c r="U13" s="42">
        <v>2000</v>
      </c>
      <c r="V13" s="42">
        <v>2000</v>
      </c>
      <c r="W13" s="42">
        <v>2000</v>
      </c>
      <c r="X13" s="42">
        <v>2000</v>
      </c>
      <c r="Y13" s="42">
        <v>2000</v>
      </c>
      <c r="Z13" s="42">
        <v>2000</v>
      </c>
      <c r="AA13" s="42">
        <v>2000</v>
      </c>
      <c r="AB13" s="42">
        <v>3000</v>
      </c>
      <c r="AC13" s="42">
        <v>3000</v>
      </c>
      <c r="AD13" s="42">
        <v>3000</v>
      </c>
      <c r="AE13" s="42">
        <v>3000</v>
      </c>
      <c r="AF13" s="42">
        <v>3000</v>
      </c>
      <c r="AG13" s="42">
        <v>3000</v>
      </c>
      <c r="AH13" s="42">
        <v>3000</v>
      </c>
      <c r="AI13" s="42">
        <v>3000</v>
      </c>
      <c r="AJ13" s="42">
        <v>3000</v>
      </c>
      <c r="AK13" s="42">
        <v>3000</v>
      </c>
      <c r="AL13" s="42">
        <v>3000</v>
      </c>
      <c r="AM13" s="42">
        <v>3000</v>
      </c>
    </row>
    <row r="14" spans="2:42" ht="15" customHeight="1">
      <c r="B14" s="59" t="s">
        <v>200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>
        <v>2500</v>
      </c>
      <c r="Q14" s="42">
        <v>2500</v>
      </c>
      <c r="R14" s="42">
        <v>2500</v>
      </c>
      <c r="S14" s="42">
        <v>2500</v>
      </c>
      <c r="T14" s="42">
        <v>2500</v>
      </c>
      <c r="U14" s="42">
        <v>2500</v>
      </c>
      <c r="V14" s="42">
        <v>2500</v>
      </c>
      <c r="W14" s="42">
        <v>2500</v>
      </c>
      <c r="X14" s="42">
        <v>2500</v>
      </c>
      <c r="Y14" s="42">
        <v>2500</v>
      </c>
      <c r="Z14" s="42">
        <v>2500</v>
      </c>
      <c r="AA14" s="42">
        <v>2500</v>
      </c>
      <c r="AB14" s="42">
        <v>3000</v>
      </c>
      <c r="AC14" s="42">
        <v>3000</v>
      </c>
      <c r="AD14" s="42">
        <v>3000</v>
      </c>
      <c r="AE14" s="42">
        <v>3000</v>
      </c>
      <c r="AF14" s="42">
        <v>3000</v>
      </c>
      <c r="AG14" s="42">
        <v>3000</v>
      </c>
      <c r="AH14" s="42">
        <v>3000</v>
      </c>
      <c r="AI14" s="42">
        <v>3000</v>
      </c>
      <c r="AJ14" s="42">
        <v>3000</v>
      </c>
      <c r="AK14" s="42">
        <v>3000</v>
      </c>
      <c r="AL14" s="42">
        <v>3000</v>
      </c>
      <c r="AM14" s="42">
        <v>3000</v>
      </c>
    </row>
    <row r="15" spans="2:42" ht="15" customHeight="1">
      <c r="B15" s="59" t="s">
        <v>201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>
        <v>1700</v>
      </c>
      <c r="Q15" s="42">
        <v>1700</v>
      </c>
      <c r="R15" s="42">
        <v>1700</v>
      </c>
      <c r="S15" s="42">
        <v>1700</v>
      </c>
      <c r="T15" s="42">
        <v>1700</v>
      </c>
      <c r="U15" s="42">
        <v>1700</v>
      </c>
      <c r="V15" s="42">
        <v>1700</v>
      </c>
      <c r="W15" s="42">
        <v>1700</v>
      </c>
      <c r="X15" s="42">
        <v>1700</v>
      </c>
      <c r="Y15" s="42">
        <v>1700</v>
      </c>
      <c r="Z15" s="42">
        <v>1700</v>
      </c>
      <c r="AA15" s="42">
        <v>1700</v>
      </c>
      <c r="AB15" s="42">
        <v>2500</v>
      </c>
      <c r="AC15" s="42">
        <v>2500</v>
      </c>
      <c r="AD15" s="42">
        <v>2500</v>
      </c>
      <c r="AE15" s="42">
        <v>2500</v>
      </c>
      <c r="AF15" s="42">
        <v>2500</v>
      </c>
      <c r="AG15" s="42">
        <v>2500</v>
      </c>
      <c r="AH15" s="42">
        <v>2500</v>
      </c>
      <c r="AI15" s="42">
        <v>2500</v>
      </c>
      <c r="AJ15" s="42">
        <v>2500</v>
      </c>
      <c r="AK15" s="42">
        <v>2500</v>
      </c>
      <c r="AL15" s="42">
        <v>2500</v>
      </c>
      <c r="AM15" s="42">
        <v>2500</v>
      </c>
    </row>
    <row r="16" spans="2:42" ht="15" customHeight="1">
      <c r="B16" s="59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</row>
    <row r="17" spans="2:43" ht="15" customHeight="1">
      <c r="B17" s="59" t="s">
        <v>202</v>
      </c>
      <c r="D17" s="42"/>
      <c r="E17" s="42"/>
      <c r="F17" s="42">
        <v>400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>
        <v>400</v>
      </c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>
        <v>400</v>
      </c>
      <c r="AE17" s="42"/>
      <c r="AF17" s="42"/>
      <c r="AG17" s="42"/>
      <c r="AH17" s="42"/>
      <c r="AI17" s="42"/>
      <c r="AJ17" s="42"/>
      <c r="AK17" s="42"/>
      <c r="AL17" s="42"/>
      <c r="AM17" s="42"/>
    </row>
    <row r="18" spans="2:43" ht="15.75" customHeight="1"/>
    <row r="19" spans="2:43" ht="18" customHeight="1">
      <c r="B19" s="39" t="s">
        <v>203</v>
      </c>
      <c r="D19" s="42">
        <v>55</v>
      </c>
      <c r="E19" s="42">
        <v>55</v>
      </c>
      <c r="F19" s="42">
        <v>55</v>
      </c>
      <c r="G19" s="42">
        <v>55</v>
      </c>
      <c r="H19" s="42">
        <v>55</v>
      </c>
      <c r="I19" s="42">
        <v>120</v>
      </c>
      <c r="J19" s="42">
        <v>120</v>
      </c>
      <c r="K19" s="42">
        <v>120</v>
      </c>
      <c r="L19" s="42">
        <v>120</v>
      </c>
      <c r="M19" s="42">
        <v>120</v>
      </c>
      <c r="N19" s="42">
        <v>120</v>
      </c>
      <c r="O19" s="42">
        <v>120</v>
      </c>
      <c r="P19" s="42">
        <v>120</v>
      </c>
      <c r="Q19" s="42">
        <v>120</v>
      </c>
      <c r="R19" s="42">
        <v>120</v>
      </c>
      <c r="S19" s="42">
        <v>120</v>
      </c>
      <c r="T19" s="42">
        <v>120</v>
      </c>
      <c r="U19" s="42">
        <v>250</v>
      </c>
      <c r="V19" s="42">
        <v>250</v>
      </c>
      <c r="W19" s="42">
        <v>250</v>
      </c>
      <c r="X19" s="42">
        <v>250</v>
      </c>
      <c r="Y19" s="42">
        <v>320</v>
      </c>
      <c r="Z19" s="42">
        <v>320</v>
      </c>
      <c r="AA19" s="42">
        <v>320</v>
      </c>
      <c r="AB19" s="42">
        <v>450</v>
      </c>
      <c r="AC19" s="42">
        <v>450</v>
      </c>
      <c r="AD19" s="42">
        <v>450</v>
      </c>
      <c r="AE19" s="42">
        <v>450</v>
      </c>
      <c r="AF19" s="42">
        <v>450</v>
      </c>
      <c r="AG19" s="42">
        <v>450</v>
      </c>
      <c r="AH19" s="42">
        <v>450</v>
      </c>
      <c r="AI19" s="42">
        <v>450</v>
      </c>
      <c r="AJ19" s="42">
        <v>450</v>
      </c>
      <c r="AK19" s="42">
        <v>450</v>
      </c>
      <c r="AL19" s="42">
        <v>450</v>
      </c>
      <c r="AM19" s="42">
        <v>450</v>
      </c>
      <c r="AQ19" s="60"/>
    </row>
    <row r="20" spans="2:43" ht="15" customHeight="1">
      <c r="B20" s="39" t="s">
        <v>204</v>
      </c>
      <c r="D20" s="42">
        <v>60</v>
      </c>
      <c r="E20" s="42">
        <v>60</v>
      </c>
      <c r="F20" s="42">
        <v>60</v>
      </c>
      <c r="G20" s="42">
        <v>60</v>
      </c>
      <c r="H20" s="42">
        <v>60</v>
      </c>
      <c r="I20" s="42">
        <v>60</v>
      </c>
      <c r="J20" s="42">
        <v>60</v>
      </c>
      <c r="K20" s="42">
        <v>60</v>
      </c>
      <c r="L20" s="42">
        <v>60</v>
      </c>
      <c r="M20" s="42">
        <v>60</v>
      </c>
      <c r="N20" s="42">
        <v>60</v>
      </c>
      <c r="O20" s="42">
        <v>60</v>
      </c>
      <c r="P20" s="42">
        <v>60</v>
      </c>
      <c r="Q20" s="42">
        <v>60</v>
      </c>
      <c r="R20" s="42">
        <v>60</v>
      </c>
      <c r="S20" s="42">
        <v>60</v>
      </c>
      <c r="T20" s="42">
        <v>60</v>
      </c>
      <c r="U20" s="42">
        <v>60</v>
      </c>
      <c r="V20" s="42">
        <v>60</v>
      </c>
      <c r="W20" s="42">
        <v>60</v>
      </c>
      <c r="X20" s="42">
        <v>60</v>
      </c>
      <c r="Y20" s="42">
        <v>60</v>
      </c>
      <c r="Z20" s="42">
        <v>60</v>
      </c>
      <c r="AA20" s="42">
        <v>60</v>
      </c>
      <c r="AB20" s="42">
        <v>60</v>
      </c>
      <c r="AC20" s="42">
        <v>60</v>
      </c>
      <c r="AD20" s="42">
        <v>60</v>
      </c>
      <c r="AE20" s="42">
        <v>60</v>
      </c>
      <c r="AF20" s="42">
        <v>60</v>
      </c>
      <c r="AG20" s="42">
        <v>60</v>
      </c>
      <c r="AH20" s="42">
        <v>60</v>
      </c>
      <c r="AI20" s="42">
        <v>60</v>
      </c>
      <c r="AJ20" s="42">
        <v>60</v>
      </c>
      <c r="AK20" s="42">
        <v>60</v>
      </c>
      <c r="AL20" s="42">
        <v>60</v>
      </c>
      <c r="AM20" s="42">
        <v>60</v>
      </c>
      <c r="AQ20" s="60"/>
    </row>
    <row r="21" spans="2:43" ht="15" customHeight="1">
      <c r="B21" s="39" t="s">
        <v>205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100</v>
      </c>
      <c r="M21" s="42">
        <v>100</v>
      </c>
      <c r="N21" s="42">
        <v>100</v>
      </c>
      <c r="O21" s="42">
        <v>100</v>
      </c>
      <c r="P21" s="42">
        <v>100</v>
      </c>
      <c r="Q21" s="42">
        <v>100</v>
      </c>
      <c r="R21" s="42">
        <v>100</v>
      </c>
      <c r="S21" s="42">
        <v>100</v>
      </c>
      <c r="T21" s="42">
        <v>100</v>
      </c>
      <c r="U21" s="42">
        <v>100</v>
      </c>
      <c r="V21" s="42">
        <v>100</v>
      </c>
      <c r="W21" s="42">
        <v>100</v>
      </c>
      <c r="X21" s="42">
        <v>100</v>
      </c>
      <c r="Y21" s="42">
        <v>100</v>
      </c>
      <c r="Z21" s="42">
        <v>100</v>
      </c>
      <c r="AA21" s="42">
        <v>100</v>
      </c>
      <c r="AB21" s="42">
        <v>100</v>
      </c>
      <c r="AC21" s="42">
        <v>100</v>
      </c>
      <c r="AD21" s="42">
        <v>100</v>
      </c>
      <c r="AE21" s="42">
        <v>100</v>
      </c>
      <c r="AF21" s="42">
        <v>100</v>
      </c>
      <c r="AG21" s="42">
        <v>100</v>
      </c>
      <c r="AH21" s="42">
        <v>100</v>
      </c>
      <c r="AI21" s="42">
        <v>100</v>
      </c>
      <c r="AJ21" s="42">
        <v>100</v>
      </c>
      <c r="AK21" s="42">
        <v>100</v>
      </c>
      <c r="AL21" s="42">
        <v>100</v>
      </c>
      <c r="AM21" s="42">
        <v>100</v>
      </c>
      <c r="AQ21" s="60"/>
    </row>
    <row r="22" spans="2:43" ht="15" customHeight="1">
      <c r="B22" s="39" t="s">
        <v>206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50</v>
      </c>
      <c r="M22" s="42">
        <v>50</v>
      </c>
      <c r="N22" s="42">
        <v>50</v>
      </c>
      <c r="O22" s="42">
        <v>50</v>
      </c>
      <c r="P22" s="42">
        <v>50</v>
      </c>
      <c r="Q22" s="42">
        <v>50</v>
      </c>
      <c r="R22" s="42">
        <v>50</v>
      </c>
      <c r="S22" s="42">
        <v>50</v>
      </c>
      <c r="T22" s="42">
        <v>50</v>
      </c>
      <c r="U22" s="42">
        <v>50</v>
      </c>
      <c r="V22" s="42">
        <v>50</v>
      </c>
      <c r="W22" s="42">
        <v>50</v>
      </c>
      <c r="X22" s="42">
        <v>50</v>
      </c>
      <c r="Y22" s="42">
        <v>50</v>
      </c>
      <c r="Z22" s="42">
        <v>50</v>
      </c>
      <c r="AA22" s="42">
        <v>50</v>
      </c>
      <c r="AB22" s="42">
        <v>50</v>
      </c>
      <c r="AC22" s="42">
        <v>50</v>
      </c>
      <c r="AD22" s="42">
        <v>50</v>
      </c>
      <c r="AE22" s="42">
        <v>50</v>
      </c>
      <c r="AF22" s="42">
        <v>50</v>
      </c>
      <c r="AG22" s="42">
        <v>50</v>
      </c>
      <c r="AH22" s="42">
        <v>50</v>
      </c>
      <c r="AI22" s="42">
        <v>50</v>
      </c>
      <c r="AJ22" s="42">
        <v>50</v>
      </c>
      <c r="AK22" s="42">
        <v>50</v>
      </c>
      <c r="AL22" s="42">
        <v>50</v>
      </c>
      <c r="AM22" s="42">
        <v>50</v>
      </c>
      <c r="AQ22" s="60"/>
    </row>
    <row r="23" spans="2:43" ht="15" customHeight="1">
      <c r="B23" s="39" t="s">
        <v>207</v>
      </c>
      <c r="D23" s="42">
        <v>79</v>
      </c>
      <c r="E23" s="42">
        <v>79</v>
      </c>
      <c r="F23" s="42">
        <v>79</v>
      </c>
      <c r="G23" s="42">
        <v>79</v>
      </c>
      <c r="H23" s="42">
        <v>79</v>
      </c>
      <c r="I23" s="42">
        <v>79</v>
      </c>
      <c r="J23" s="42">
        <v>79</v>
      </c>
      <c r="K23" s="42">
        <v>79</v>
      </c>
      <c r="L23" s="42">
        <v>79</v>
      </c>
      <c r="M23" s="42">
        <v>79</v>
      </c>
      <c r="N23" s="42">
        <v>79</v>
      </c>
      <c r="O23" s="42">
        <v>79</v>
      </c>
      <c r="P23" s="42">
        <v>79</v>
      </c>
      <c r="Q23" s="42">
        <v>79</v>
      </c>
      <c r="R23" s="42">
        <v>79</v>
      </c>
      <c r="S23" s="42">
        <v>79</v>
      </c>
      <c r="T23" s="42">
        <v>79</v>
      </c>
      <c r="U23" s="42">
        <v>79</v>
      </c>
      <c r="V23" s="42">
        <v>79</v>
      </c>
      <c r="W23" s="42">
        <v>79</v>
      </c>
      <c r="X23" s="42">
        <v>79</v>
      </c>
      <c r="Y23" s="42">
        <v>79</v>
      </c>
      <c r="Z23" s="42">
        <v>79</v>
      </c>
      <c r="AA23" s="42">
        <v>79</v>
      </c>
      <c r="AB23" s="42">
        <v>79</v>
      </c>
      <c r="AC23" s="42">
        <v>79</v>
      </c>
      <c r="AD23" s="42">
        <v>79</v>
      </c>
      <c r="AE23" s="42">
        <v>79</v>
      </c>
      <c r="AF23" s="42">
        <v>79</v>
      </c>
      <c r="AG23" s="42">
        <v>79</v>
      </c>
      <c r="AH23" s="42">
        <v>79</v>
      </c>
      <c r="AI23" s="42">
        <v>79</v>
      </c>
      <c r="AJ23" s="42">
        <v>79</v>
      </c>
      <c r="AK23" s="42">
        <v>79</v>
      </c>
      <c r="AL23" s="42">
        <v>79</v>
      </c>
      <c r="AM23" s="42">
        <v>79</v>
      </c>
    </row>
    <row r="24" spans="2:43" ht="15" customHeight="1">
      <c r="B24" s="39" t="s">
        <v>208</v>
      </c>
      <c r="D24" s="42">
        <v>39.5</v>
      </c>
      <c r="E24" s="42">
        <v>39.5</v>
      </c>
      <c r="F24" s="42">
        <v>39.5</v>
      </c>
      <c r="G24" s="42">
        <v>39.5</v>
      </c>
      <c r="H24" s="42">
        <v>39.5</v>
      </c>
      <c r="I24" s="42">
        <v>39.5</v>
      </c>
      <c r="J24" s="42">
        <v>39.5</v>
      </c>
      <c r="K24" s="42">
        <v>39.5</v>
      </c>
      <c r="L24" s="42">
        <v>39.5</v>
      </c>
      <c r="M24" s="42">
        <v>39.5</v>
      </c>
      <c r="N24" s="42">
        <v>39.5</v>
      </c>
      <c r="O24" s="42">
        <v>39.5</v>
      </c>
      <c r="P24" s="42">
        <v>85</v>
      </c>
      <c r="Q24" s="42">
        <v>85</v>
      </c>
      <c r="R24" s="42">
        <v>85</v>
      </c>
      <c r="S24" s="42">
        <v>85</v>
      </c>
      <c r="T24" s="42">
        <v>85</v>
      </c>
      <c r="U24" s="42">
        <v>85</v>
      </c>
      <c r="V24" s="42">
        <v>85</v>
      </c>
      <c r="W24" s="42">
        <v>85</v>
      </c>
      <c r="X24" s="42">
        <v>85</v>
      </c>
      <c r="Y24" s="42">
        <v>85</v>
      </c>
      <c r="Z24" s="42">
        <v>85</v>
      </c>
      <c r="AA24" s="42">
        <v>85</v>
      </c>
      <c r="AB24" s="42">
        <v>158</v>
      </c>
      <c r="AC24" s="42">
        <v>158</v>
      </c>
      <c r="AD24" s="42">
        <v>158</v>
      </c>
      <c r="AE24" s="42">
        <v>158</v>
      </c>
      <c r="AF24" s="42">
        <v>158</v>
      </c>
      <c r="AG24" s="42">
        <v>158</v>
      </c>
      <c r="AH24" s="42">
        <v>158</v>
      </c>
      <c r="AI24" s="42">
        <v>158</v>
      </c>
      <c r="AJ24" s="42">
        <v>158</v>
      </c>
      <c r="AK24" s="42">
        <v>158</v>
      </c>
      <c r="AL24" s="42">
        <v>158</v>
      </c>
      <c r="AM24" s="42">
        <v>158</v>
      </c>
    </row>
    <row r="25" spans="2:43" ht="15" customHeight="1">
      <c r="B25" s="39" t="s">
        <v>209</v>
      </c>
      <c r="D25" s="42">
        <v>200</v>
      </c>
      <c r="E25" s="42">
        <v>200</v>
      </c>
      <c r="F25" s="42">
        <v>200</v>
      </c>
      <c r="G25" s="42">
        <v>200</v>
      </c>
      <c r="H25" s="42">
        <v>200</v>
      </c>
      <c r="I25" s="42">
        <v>200</v>
      </c>
      <c r="J25" s="42">
        <v>200</v>
      </c>
      <c r="K25" s="42">
        <v>200</v>
      </c>
      <c r="L25" s="42">
        <v>200</v>
      </c>
      <c r="M25" s="42">
        <v>200</v>
      </c>
      <c r="N25" s="42">
        <v>200</v>
      </c>
      <c r="O25" s="42">
        <v>200</v>
      </c>
      <c r="P25" s="42">
        <v>350</v>
      </c>
      <c r="Q25" s="42">
        <v>350</v>
      </c>
      <c r="R25" s="42">
        <v>350</v>
      </c>
      <c r="S25" s="42">
        <v>350</v>
      </c>
      <c r="T25" s="42">
        <v>350</v>
      </c>
      <c r="U25" s="42">
        <v>350</v>
      </c>
      <c r="V25" s="42">
        <v>350</v>
      </c>
      <c r="W25" s="42">
        <v>350</v>
      </c>
      <c r="X25" s="42">
        <v>350</v>
      </c>
      <c r="Y25" s="42">
        <v>350</v>
      </c>
      <c r="Z25" s="42">
        <v>350</v>
      </c>
      <c r="AA25" s="42">
        <v>350</v>
      </c>
      <c r="AB25" s="42">
        <v>500</v>
      </c>
      <c r="AC25" s="42">
        <v>500</v>
      </c>
      <c r="AD25" s="42">
        <v>500</v>
      </c>
      <c r="AE25" s="42">
        <v>500</v>
      </c>
      <c r="AF25" s="42">
        <v>500</v>
      </c>
      <c r="AG25" s="42">
        <v>500</v>
      </c>
      <c r="AH25" s="42">
        <v>500</v>
      </c>
      <c r="AI25" s="42">
        <v>500</v>
      </c>
      <c r="AJ25" s="42">
        <v>500</v>
      </c>
      <c r="AK25" s="42">
        <v>500</v>
      </c>
      <c r="AL25" s="42">
        <v>500</v>
      </c>
      <c r="AM25" s="42">
        <v>500</v>
      </c>
    </row>
    <row r="26" spans="2:43" ht="15" customHeight="1">
      <c r="B26" s="39" t="s">
        <v>210</v>
      </c>
      <c r="D26" s="42">
        <v>1000</v>
      </c>
      <c r="E26" s="42">
        <v>1250</v>
      </c>
      <c r="F26" s="42"/>
      <c r="G26" s="42">
        <v>0</v>
      </c>
      <c r="H26" s="42">
        <v>0</v>
      </c>
      <c r="I26" s="42">
        <v>120</v>
      </c>
      <c r="J26" s="42">
        <v>120</v>
      </c>
      <c r="K26" s="42">
        <v>120</v>
      </c>
      <c r="L26" s="42">
        <v>120</v>
      </c>
      <c r="M26" s="42">
        <v>120</v>
      </c>
      <c r="N26" s="42">
        <v>120</v>
      </c>
      <c r="O26" s="42">
        <v>120</v>
      </c>
      <c r="P26" s="42">
        <v>120</v>
      </c>
      <c r="Q26" s="42">
        <v>120</v>
      </c>
      <c r="R26" s="42">
        <v>120</v>
      </c>
      <c r="S26" s="42">
        <v>120</v>
      </c>
      <c r="T26" s="42">
        <v>120</v>
      </c>
      <c r="U26" s="42">
        <v>120</v>
      </c>
      <c r="V26" s="42">
        <v>120</v>
      </c>
      <c r="W26" s="42">
        <v>120</v>
      </c>
      <c r="X26" s="42">
        <v>120</v>
      </c>
      <c r="Y26" s="42">
        <v>120</v>
      </c>
      <c r="Z26" s="42">
        <v>120</v>
      </c>
      <c r="AA26" s="42">
        <v>120</v>
      </c>
      <c r="AB26" s="42">
        <v>120</v>
      </c>
      <c r="AC26" s="42">
        <v>120</v>
      </c>
      <c r="AD26" s="42">
        <v>120</v>
      </c>
      <c r="AE26" s="42">
        <v>120</v>
      </c>
      <c r="AF26" s="42">
        <v>120</v>
      </c>
      <c r="AG26" s="42">
        <v>120</v>
      </c>
      <c r="AH26" s="42">
        <v>120</v>
      </c>
      <c r="AI26" s="42">
        <v>120</v>
      </c>
      <c r="AJ26" s="42">
        <v>120</v>
      </c>
      <c r="AK26" s="42">
        <v>120</v>
      </c>
      <c r="AL26" s="42">
        <v>120</v>
      </c>
      <c r="AM26" s="42">
        <v>120</v>
      </c>
    </row>
    <row r="27" spans="2:43" ht="15" customHeight="1">
      <c r="B27" s="39" t="s">
        <v>211</v>
      </c>
      <c r="D27" s="42">
        <v>1400</v>
      </c>
      <c r="E27" s="42">
        <v>200</v>
      </c>
      <c r="F27" s="42">
        <v>200</v>
      </c>
      <c r="G27" s="42">
        <v>600</v>
      </c>
      <c r="H27" s="42">
        <v>200</v>
      </c>
      <c r="I27" s="42">
        <v>200</v>
      </c>
      <c r="J27" s="42">
        <v>600</v>
      </c>
      <c r="K27" s="42">
        <v>200</v>
      </c>
      <c r="L27" s="42">
        <v>200</v>
      </c>
      <c r="M27" s="42">
        <v>200</v>
      </c>
      <c r="N27" s="42">
        <v>200</v>
      </c>
      <c r="O27" s="42">
        <v>200</v>
      </c>
      <c r="P27" s="42">
        <v>200</v>
      </c>
      <c r="Q27" s="42">
        <v>200</v>
      </c>
      <c r="R27" s="42">
        <v>200</v>
      </c>
      <c r="S27" s="42">
        <v>600</v>
      </c>
      <c r="T27" s="42">
        <v>200</v>
      </c>
      <c r="U27" s="42">
        <v>200</v>
      </c>
      <c r="V27" s="42">
        <v>600</v>
      </c>
      <c r="W27" s="42">
        <v>200</v>
      </c>
      <c r="X27" s="42">
        <v>200</v>
      </c>
      <c r="Y27" s="42">
        <v>200</v>
      </c>
      <c r="Z27" s="42">
        <v>200</v>
      </c>
      <c r="AA27" s="42">
        <v>200</v>
      </c>
      <c r="AB27" s="42">
        <v>200</v>
      </c>
      <c r="AC27" s="42">
        <v>200</v>
      </c>
      <c r="AD27" s="42">
        <v>200</v>
      </c>
      <c r="AE27" s="42">
        <v>600</v>
      </c>
      <c r="AF27" s="42">
        <v>200</v>
      </c>
      <c r="AG27" s="42">
        <v>200</v>
      </c>
      <c r="AH27" s="42">
        <v>600</v>
      </c>
      <c r="AI27" s="42">
        <v>200</v>
      </c>
      <c r="AJ27" s="42">
        <v>200</v>
      </c>
      <c r="AK27" s="42">
        <v>200</v>
      </c>
      <c r="AL27" s="42">
        <v>200</v>
      </c>
      <c r="AM27" s="42">
        <v>200</v>
      </c>
    </row>
    <row r="28" spans="2:43" ht="15" customHeight="1">
      <c r="B28" s="39" t="s">
        <v>212</v>
      </c>
      <c r="D28" s="42">
        <f>300*0.79</f>
        <v>237</v>
      </c>
      <c r="E28" s="42">
        <f>300*0.79</f>
        <v>237</v>
      </c>
      <c r="F28" s="42">
        <f>450*0.79</f>
        <v>355.5</v>
      </c>
      <c r="G28" s="42">
        <v>300</v>
      </c>
      <c r="H28" s="42">
        <v>300</v>
      </c>
      <c r="I28" s="42">
        <v>300</v>
      </c>
      <c r="J28" s="42">
        <v>300</v>
      </c>
      <c r="K28" s="42">
        <f>555*0.79</f>
        <v>438.45000000000005</v>
      </c>
      <c r="L28" s="42">
        <f>0.79*740</f>
        <v>584.6</v>
      </c>
      <c r="M28" s="42">
        <f>0.79*925</f>
        <v>730.75</v>
      </c>
      <c r="N28" s="42">
        <f>0.79*1480</f>
        <v>1169.2</v>
      </c>
      <c r="O28" s="42">
        <f>0.79*1850</f>
        <v>1461.5</v>
      </c>
      <c r="P28" s="42">
        <f>0.79*1850</f>
        <v>1461.5</v>
      </c>
      <c r="Q28" s="42">
        <f>0.79*1850</f>
        <v>1461.5</v>
      </c>
      <c r="R28" s="42">
        <f>0.79*2000</f>
        <v>1580</v>
      </c>
      <c r="S28" s="42">
        <f>0.79*2000</f>
        <v>1580</v>
      </c>
      <c r="T28" s="42">
        <f>0.79*2200</f>
        <v>1738</v>
      </c>
      <c r="U28" s="42">
        <f>0.79*2200</f>
        <v>1738</v>
      </c>
      <c r="V28" s="42">
        <f>0.79*2500</f>
        <v>1975</v>
      </c>
      <c r="W28" s="42">
        <f>0.79*2800</f>
        <v>2212</v>
      </c>
      <c r="X28" s="42">
        <f>0.79*3000</f>
        <v>2370</v>
      </c>
      <c r="Y28" s="42">
        <f>0.79*3500</f>
        <v>2765</v>
      </c>
      <c r="Z28" s="42">
        <f>0.79*4000</f>
        <v>3160</v>
      </c>
      <c r="AA28" s="42">
        <f>0.79*4500</f>
        <v>3555</v>
      </c>
      <c r="AB28" s="42">
        <f>0.79*5000</f>
        <v>3950</v>
      </c>
      <c r="AC28" s="42">
        <f>0.79*5000</f>
        <v>3950</v>
      </c>
      <c r="AD28" s="42">
        <f>0.79*5500</f>
        <v>4345</v>
      </c>
      <c r="AE28" s="42">
        <f>0.79*5500</f>
        <v>4345</v>
      </c>
      <c r="AF28" s="42">
        <f>0.79*6000</f>
        <v>4740</v>
      </c>
      <c r="AG28" s="42">
        <f>0.79*6000</f>
        <v>4740</v>
      </c>
      <c r="AH28" s="42">
        <f>0.79*6500</f>
        <v>5135</v>
      </c>
      <c r="AI28" s="42">
        <f>0.79*7000</f>
        <v>5530</v>
      </c>
      <c r="AJ28" s="42">
        <f>0.79*7000</f>
        <v>5530</v>
      </c>
      <c r="AK28" s="42">
        <f>0.79*7500</f>
        <v>5925</v>
      </c>
      <c r="AL28" s="42">
        <f>0.79*8000</f>
        <v>6320</v>
      </c>
      <c r="AM28" s="42">
        <f>0.79*8500</f>
        <v>6715</v>
      </c>
    </row>
    <row r="29" spans="2:43" ht="15" customHeight="1">
      <c r="B29" s="94" t="s">
        <v>213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</row>
    <row r="30" spans="2:43" ht="15" customHeight="1">
      <c r="B30" s="45" t="s">
        <v>214</v>
      </c>
      <c r="D30" s="61">
        <f>(('MODELO NORMAL'!D32 * 0.97 * 3) + ('MODELO NORMAL'!D32 * 0.03 * 15)) * 'COGS &amp; SG&amp;A'!D6</f>
        <v>6.048</v>
      </c>
      <c r="E30" s="61">
        <f>(('MODELO NORMAL'!E32 * 0.97 * 3) + ('MODELO NORMAL'!E32 * 0.03 * 15)) * 'COGS &amp; SG&amp;A'!E6</f>
        <v>10.08</v>
      </c>
      <c r="F30" s="61">
        <f>(('MODELO NORMAL'!F32 * 0.97 * 3) + ('MODELO NORMAL'!F32 * 0.03 * 15)) * 'COGS &amp; SG&amp;A'!F6</f>
        <v>13.103999999999997</v>
      </c>
      <c r="G30" s="61">
        <f>(('MODELO NORMAL'!G32 * 0.97 * 3) + ('MODELO NORMAL'!G32 * 0.03 * 15)) * 'COGS &amp; SG&amp;A'!G6</f>
        <v>19.756800000000002</v>
      </c>
      <c r="H30" s="61">
        <f>(('MODELO NORMAL'!H32 * 0.97 * 3) + ('MODELO NORMAL'!H32 * 0.03 * 15)) * 'COGS &amp; SG&amp;A'!H6</f>
        <v>29.635199999999998</v>
      </c>
      <c r="I30" s="61">
        <f>(('MODELO NORMAL'!I32 * 0.97 * 3) + ('MODELO NORMAL'!I32 * 0.03 * 15)) * 'COGS &amp; SG&amp;A'!I6</f>
        <v>41.529600000000002</v>
      </c>
      <c r="J30" s="61">
        <f>(('MODELO NORMAL'!J32 * 0.97 * 3) + ('MODELO NORMAL'!J32 * 0.03 * 15)) * 'COGS &amp; SG&amp;A'!J6</f>
        <v>56.044799999999995</v>
      </c>
      <c r="K30" s="61">
        <f>(('MODELO NORMAL'!K32 * 0.97 * 3) + ('MODELO NORMAL'!K32 * 0.03 * 15)) * 'COGS &amp; SG&amp;A'!K6</f>
        <v>72.777599999999993</v>
      </c>
      <c r="L30" s="61">
        <f>(('MODELO NORMAL'!L32 * 0.97 * 3) + ('MODELO NORMAL'!L32 * 0.03 * 15)) * 'COGS &amp; SG&amp;A'!L6</f>
        <v>90.921599999999984</v>
      </c>
      <c r="M30" s="61">
        <f>(('MODELO NORMAL'!M32 * 0.97 * 3) + ('MODELO NORMAL'!M32 * 0.03 * 15)) * 'COGS &amp; SG&amp;A'!M6</f>
        <v>109.06559999999999</v>
      </c>
      <c r="N30" s="61">
        <f>(('MODELO NORMAL'!N32 * 0.97 * 3) + ('MODELO NORMAL'!N32 * 0.03 * 15)) * 'COGS &amp; SG&amp;A'!N6</f>
        <v>130.83839999999998</v>
      </c>
      <c r="O30" s="61">
        <f>(('MODELO NORMAL'!O32 * 0.97 * 3) + ('MODELO NORMAL'!O32 * 0.03 * 15)) * 'COGS &amp; SG&amp;A'!O6</f>
        <v>150.39359999999999</v>
      </c>
      <c r="P30" s="61">
        <f>(('MODELO NORMAL'!P32 * 0.97 * 3) + ('MODELO NORMAL'!P32 * 0.03 * 15)) * 'COGS &amp; SG&amp;A'!P6</f>
        <v>172.97279999999998</v>
      </c>
      <c r="Q30" s="61">
        <f>(('MODELO NORMAL'!Q32 * 0.97 * 3) + ('MODELO NORMAL'!Q32 * 0.03 * 15)) * 'COGS &amp; SG&amp;A'!Q6</f>
        <v>198.97919999999999</v>
      </c>
      <c r="R30" s="61">
        <f>(('MODELO NORMAL'!R32 * 0.97 * 3) + ('MODELO NORMAL'!R32 * 0.03 * 15)) * 'COGS &amp; SG&amp;A'!R6</f>
        <v>228.816</v>
      </c>
      <c r="S30" s="61">
        <f>(('MODELO NORMAL'!S32 * 0.97 * 3) + ('MODELO NORMAL'!S32 * 0.03 * 15)) * 'COGS &amp; SG&amp;A'!S6</f>
        <v>274.57919999999996</v>
      </c>
      <c r="T30" s="61">
        <f>(('MODELO NORMAL'!T32 * 0.97 * 3) + ('MODELO NORMAL'!T32 * 0.03 * 15)) * 'COGS &amp; SG&amp;A'!T6</f>
        <v>329.41440000000006</v>
      </c>
      <c r="U30" s="61">
        <f>(('MODELO NORMAL'!U32 * 0.97 * 3) + ('MODELO NORMAL'!U32 * 0.03 * 15)) * 'COGS &amp; SG&amp;A'!U6</f>
        <v>378.80639999999994</v>
      </c>
      <c r="V30" s="61">
        <f>(('MODELO NORMAL'!V32 * 0.97 * 3) + ('MODELO NORMAL'!V32 * 0.03 * 15)) * 'COGS &amp; SG&amp;A'!V6</f>
        <v>435.6576</v>
      </c>
      <c r="W30" s="61">
        <f>(('MODELO NORMAL'!W32 * 0.97 * 3) + ('MODELO NORMAL'!W32 * 0.03 * 15)) * 'COGS &amp; SG&amp;A'!W6</f>
        <v>487.87200000000001</v>
      </c>
      <c r="X30" s="61">
        <f>(('MODELO NORMAL'!X32 * 0.97 * 3) + ('MODELO NORMAL'!X32 * 0.03 * 15)) * 'COGS &amp; SG&amp;A'!X6</f>
        <v>546.3359999999999</v>
      </c>
      <c r="Y30" s="61">
        <f>(('MODELO NORMAL'!Y32 * 0.97 * 3) + ('MODELO NORMAL'!Y32 * 0.03 * 15)) * 'COGS &amp; SG&amp;A'!Y6</f>
        <v>600.96960000000001</v>
      </c>
      <c r="Z30" s="61">
        <f>(('MODELO NORMAL'!Z32 * 0.97 * 3) + ('MODELO NORMAL'!Z32 * 0.03 * 15)) * 'COGS &amp; SG&amp;A'!Z6</f>
        <v>661.04639999999995</v>
      </c>
      <c r="AA30" s="61">
        <f>(('MODELO NORMAL'!AA32 * 0.97 * 3) + ('MODELO NORMAL'!AA32 * 0.03 * 15)) * 'COGS &amp; SG&amp;A'!AA6</f>
        <v>727.17119999999989</v>
      </c>
      <c r="AB30" s="61">
        <f>(('MODELO NORMAL'!AB32 * 0.97 * 3) + ('MODELO NORMAL'!AB32 * 0.03 * 15)) * 'COGS &amp; SG&amp;A'!AB6</f>
        <v>799.94880000000001</v>
      </c>
      <c r="AC30" s="61">
        <f>(('MODELO NORMAL'!AC32 * 0.97 * 3) + ('MODELO NORMAL'!AC32 * 0.03 * 15)) * 'COGS &amp; SG&amp;A'!AC6</f>
        <v>879.98400000000004</v>
      </c>
      <c r="AD30" s="61">
        <f>(('MODELO NORMAL'!AD32 * 0.97 * 3) + ('MODELO NORMAL'!AD32 * 0.03 * 15)) * 'COGS &amp; SG&amp;A'!AD6</f>
        <v>950.34239999999988</v>
      </c>
      <c r="AE30" s="61">
        <f>(('MODELO NORMAL'!AE32 * 0.97 * 3) + ('MODELO NORMAL'!AE32 * 0.03 * 15)) * 'COGS &amp; SG&amp;A'!AE6</f>
        <v>1026.3455999999999</v>
      </c>
      <c r="AF30" s="61">
        <f>(('MODELO NORMAL'!AF32 * 0.97 * 3) + ('MODELO NORMAL'!AF32 * 0.03 * 15)) * 'COGS &amp; SG&amp;A'!AF6</f>
        <v>1108.3968</v>
      </c>
      <c r="AG30" s="61">
        <f>(('MODELO NORMAL'!AG32 * 0.97 * 3) + ('MODELO NORMAL'!AG32 * 0.03 * 15)) * 'COGS &amp; SG&amp;A'!AG6</f>
        <v>1197.1007999999997</v>
      </c>
      <c r="AH30" s="61">
        <f>(('MODELO NORMAL'!AH32 * 0.97 * 3) + ('MODELO NORMAL'!AH32 * 0.03 * 15)) * 'COGS &amp; SG&amp;A'!AH6</f>
        <v>1280.9663999999998</v>
      </c>
      <c r="AI30" s="61">
        <f>(('MODELO NORMAL'!AI32 * 0.97 * 3) + ('MODELO NORMAL'!AI32 * 0.03 * 15)) * 'COGS &amp; SG&amp;A'!AI6</f>
        <v>1370.6784</v>
      </c>
      <c r="AJ30" s="61">
        <f>(('MODELO NORMAL'!AJ32 * 0.97 * 3) + ('MODELO NORMAL'!AJ32 * 0.03 * 15)) * 'COGS &amp; SG&amp;A'!AJ6</f>
        <v>1466.6399999999999</v>
      </c>
      <c r="AK30" s="61">
        <f>(('MODELO NORMAL'!AK32 * 0.97 * 3) + ('MODELO NORMAL'!AK32 * 0.03 * 15)) * 'COGS &amp; SG&amp;A'!AK6</f>
        <v>1569.2543999999998</v>
      </c>
      <c r="AL30" s="61">
        <f>(('MODELO NORMAL'!AL32 * 0.97 * 3) + ('MODELO NORMAL'!AL32 * 0.03 * 15)) * 'COGS &amp; SG&amp;A'!AL6</f>
        <v>1663.4015999999997</v>
      </c>
      <c r="AM30" s="61">
        <f>(('MODELO NORMAL'!AM32 * 0.97 * 3) + ('MODELO NORMAL'!AM32 * 0.03 * 15)) * 'COGS &amp; SG&amp;A'!AM6</f>
        <v>1763.1935999999998</v>
      </c>
      <c r="AN30" s="51">
        <f>SUM(D30:O30)</f>
        <v>730.1952</v>
      </c>
      <c r="AO30" s="51">
        <f>SUM(P30:AA30)</f>
        <v>5042.6207999999997</v>
      </c>
      <c r="AP30" s="51">
        <f>SUM(AB30:AM30)</f>
        <v>15076.252799999998</v>
      </c>
    </row>
    <row r="31" spans="2:43" ht="15" customHeight="1">
      <c r="B31" s="45" t="s">
        <v>215</v>
      </c>
      <c r="D31" s="47">
        <f>D7*'MODELO NORMAL'!D39</f>
        <v>5.6430400000000009</v>
      </c>
      <c r="E31" s="47">
        <f>E7*'MODELO NORMAL'!E39</f>
        <v>8.4645600000000005</v>
      </c>
      <c r="F31" s="47">
        <f>F7*'MODELO NORMAL'!F39</f>
        <v>11.286080000000002</v>
      </c>
      <c r="G31" s="47">
        <f>G7*'MODELO NORMAL'!G39</f>
        <v>14.1076</v>
      </c>
      <c r="H31" s="47">
        <f>H7*'MODELO NORMAL'!H39</f>
        <v>16.929120000000001</v>
      </c>
      <c r="I31" s="47">
        <f>I7*'MODELO NORMAL'!I39</f>
        <v>19.750640000000001</v>
      </c>
      <c r="J31" s="47">
        <f>J7*'MODELO NORMAL'!J39</f>
        <v>22.572160000000004</v>
      </c>
      <c r="K31" s="47">
        <f>K7*'MODELO NORMAL'!K39</f>
        <v>29.298200000000001</v>
      </c>
      <c r="L31" s="47">
        <f>L7*'MODELO NORMAL'!L39</f>
        <v>35.211240000000004</v>
      </c>
      <c r="M31" s="47">
        <f>M7*'MODELO NORMAL'!M39</f>
        <v>43.945800000000013</v>
      </c>
      <c r="N31" s="47">
        <f>N7*'MODELO NORMAL'!N39</f>
        <v>55.555880000000002</v>
      </c>
      <c r="O31" s="47">
        <f>O7*'MODELO NORMAL'!O39</f>
        <v>69.954480000000004</v>
      </c>
      <c r="P31" s="47">
        <f>P7*'MODELO NORMAL'!P39</f>
        <v>78.755039999999994</v>
      </c>
      <c r="Q31" s="47">
        <f>Q7*'MODELO NORMAL'!Q39</f>
        <v>87.606600000000014</v>
      </c>
      <c r="R31" s="47">
        <f>R7*'MODELO NORMAL'!R39</f>
        <v>99.336680000000015</v>
      </c>
      <c r="S31" s="47">
        <f>S7*'MODELO NORMAL'!S39</f>
        <v>114.12528</v>
      </c>
      <c r="T31" s="47">
        <f>T7*'MODELO NORMAL'!T39</f>
        <v>129.04888</v>
      </c>
      <c r="U31" s="47">
        <f>U7*'MODELO NORMAL'!U39</f>
        <v>146.71299999999999</v>
      </c>
      <c r="V31" s="47">
        <f>V7*'MODELO NORMAL'!V39</f>
        <v>170.13116000000002</v>
      </c>
      <c r="W31" s="47">
        <f>W7*'MODELO NORMAL'!W39</f>
        <v>199.12336000000005</v>
      </c>
      <c r="X31" s="47">
        <f>X7*'MODELO NORMAL'!X39</f>
        <v>231.03008000000003</v>
      </c>
      <c r="Y31" s="47">
        <f>Y7*'MODELO NORMAL'!Y39</f>
        <v>271.34435999999999</v>
      </c>
      <c r="Z31" s="47">
        <f>Z7*'MODELO NORMAL'!Z39</f>
        <v>317.38267999999999</v>
      </c>
      <c r="AA31" s="47">
        <f>AA7*'MODELO NORMAL'!AA39</f>
        <v>374.79707999999999</v>
      </c>
      <c r="AB31" s="47">
        <f>AB7*'MODELO NORMAL'!AB39</f>
        <v>404.09528</v>
      </c>
      <c r="AC31" s="47">
        <f>AC7*'MODELO NORMAL'!AC39</f>
        <v>439.14452000000006</v>
      </c>
      <c r="AD31" s="47">
        <f>AD7*'MODELO NORMAL'!AD39</f>
        <v>476.87127999999996</v>
      </c>
      <c r="AE31" s="47">
        <f>AE7*'MODELO NORMAL'!AE39</f>
        <v>517.50355999999999</v>
      </c>
      <c r="AF31" s="47">
        <f>AF7*'MODELO NORMAL'!AF39</f>
        <v>552.58280000000002</v>
      </c>
      <c r="AG31" s="47">
        <f>AG7*'MODELO NORMAL'!AG39</f>
        <v>587.76104000000009</v>
      </c>
      <c r="AH31" s="47">
        <f>AH7*'MODELO NORMAL'!AH39</f>
        <v>625.68880000000001</v>
      </c>
      <c r="AI31" s="47">
        <f>AI7*'MODELO NORMAL'!AI39</f>
        <v>666.52508</v>
      </c>
      <c r="AJ31" s="47">
        <f>AJ7*'MODELO NORMAL'!AJ39</f>
        <v>710.27587999999992</v>
      </c>
      <c r="AK31" s="47">
        <f>AK7*'MODELO NORMAL'!AK39</f>
        <v>754.12567999999987</v>
      </c>
      <c r="AL31" s="47">
        <f>AL7*'MODELO NORMAL'!AL39</f>
        <v>789.38492000000019</v>
      </c>
      <c r="AM31" s="47">
        <f>AM7*'MODELO NORMAL'!AM39</f>
        <v>827.54968000000008</v>
      </c>
      <c r="AN31" s="51">
        <f>SUM(D31:O31)</f>
        <v>332.71880000000004</v>
      </c>
      <c r="AO31" s="51">
        <f>SUM(P31:AA31)</f>
        <v>2219.3942000000002</v>
      </c>
      <c r="AP31" s="51">
        <f>SUM(AB31:AM31)</f>
        <v>7351.5085200000012</v>
      </c>
    </row>
    <row r="32" spans="2:43" ht="15" customHeight="1">
      <c r="B32" s="55" t="s">
        <v>216</v>
      </c>
      <c r="D32" s="51">
        <f t="shared" ref="D32:AP32" si="1">D30+D31</f>
        <v>11.691040000000001</v>
      </c>
      <c r="E32" s="51">
        <f t="shared" si="1"/>
        <v>18.544560000000001</v>
      </c>
      <c r="F32" s="51">
        <f t="shared" si="1"/>
        <v>24.390079999999998</v>
      </c>
      <c r="G32" s="51">
        <f t="shared" si="1"/>
        <v>33.864400000000003</v>
      </c>
      <c r="H32" s="51">
        <f t="shared" si="1"/>
        <v>46.564319999999995</v>
      </c>
      <c r="I32" s="51">
        <f t="shared" si="1"/>
        <v>61.280240000000006</v>
      </c>
      <c r="J32" s="51">
        <f t="shared" si="1"/>
        <v>78.616960000000006</v>
      </c>
      <c r="K32" s="51">
        <f t="shared" si="1"/>
        <v>102.07579999999999</v>
      </c>
      <c r="L32" s="51">
        <f t="shared" si="1"/>
        <v>126.13283999999999</v>
      </c>
      <c r="M32" s="51">
        <f t="shared" si="1"/>
        <v>153.01140000000001</v>
      </c>
      <c r="N32" s="51">
        <f t="shared" si="1"/>
        <v>186.39427999999998</v>
      </c>
      <c r="O32" s="51">
        <f t="shared" si="1"/>
        <v>220.34807999999998</v>
      </c>
      <c r="P32" s="51">
        <f t="shared" si="1"/>
        <v>251.72783999999996</v>
      </c>
      <c r="Q32" s="51">
        <f t="shared" si="1"/>
        <v>286.58580000000001</v>
      </c>
      <c r="R32" s="51">
        <f t="shared" si="1"/>
        <v>328.15268000000003</v>
      </c>
      <c r="S32" s="51">
        <f t="shared" si="1"/>
        <v>388.70447999999999</v>
      </c>
      <c r="T32" s="51">
        <f t="shared" si="1"/>
        <v>458.46328000000005</v>
      </c>
      <c r="U32" s="51">
        <f t="shared" si="1"/>
        <v>525.51939999999991</v>
      </c>
      <c r="V32" s="51">
        <f t="shared" si="1"/>
        <v>605.78876000000002</v>
      </c>
      <c r="W32" s="51">
        <f t="shared" si="1"/>
        <v>686.99536000000012</v>
      </c>
      <c r="X32" s="51">
        <f t="shared" si="1"/>
        <v>777.3660799999999</v>
      </c>
      <c r="Y32" s="51">
        <f t="shared" si="1"/>
        <v>872.31395999999995</v>
      </c>
      <c r="Z32" s="51">
        <f t="shared" si="1"/>
        <v>978.42907999999989</v>
      </c>
      <c r="AA32" s="51">
        <f t="shared" si="1"/>
        <v>1101.9682799999998</v>
      </c>
      <c r="AB32" s="51">
        <f t="shared" si="1"/>
        <v>1204.0440800000001</v>
      </c>
      <c r="AC32" s="51">
        <f t="shared" si="1"/>
        <v>1319.1285200000002</v>
      </c>
      <c r="AD32" s="51">
        <f t="shared" si="1"/>
        <v>1427.2136799999998</v>
      </c>
      <c r="AE32" s="51">
        <f t="shared" si="1"/>
        <v>1543.8491599999998</v>
      </c>
      <c r="AF32" s="51">
        <f t="shared" si="1"/>
        <v>1660.9796000000001</v>
      </c>
      <c r="AG32" s="51">
        <f t="shared" si="1"/>
        <v>1784.8618399999998</v>
      </c>
      <c r="AH32" s="51">
        <f t="shared" si="1"/>
        <v>1906.6551999999997</v>
      </c>
      <c r="AI32" s="51">
        <f t="shared" si="1"/>
        <v>2037.2034800000001</v>
      </c>
      <c r="AJ32" s="51">
        <f t="shared" si="1"/>
        <v>2176.9158799999996</v>
      </c>
      <c r="AK32" s="51">
        <f t="shared" si="1"/>
        <v>2323.3800799999999</v>
      </c>
      <c r="AL32" s="51">
        <f t="shared" si="1"/>
        <v>2452.7865199999997</v>
      </c>
      <c r="AM32" s="51">
        <f t="shared" si="1"/>
        <v>2590.7432799999997</v>
      </c>
      <c r="AN32" s="51">
        <f t="shared" si="1"/>
        <v>1062.914</v>
      </c>
      <c r="AO32" s="51">
        <f t="shared" si="1"/>
        <v>7262.0149999999994</v>
      </c>
      <c r="AP32" s="51">
        <f t="shared" si="1"/>
        <v>22427.761319999998</v>
      </c>
    </row>
    <row r="33" spans="2:42" ht="15" customHeight="1">
      <c r="B33" s="94" t="s">
        <v>217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</row>
    <row r="34" spans="2:42" ht="15" customHeight="1">
      <c r="B34" s="49" t="s">
        <v>218</v>
      </c>
      <c r="D34" s="51">
        <f t="shared" ref="D34:AM34" si="2">D10+D11+D12+D13+D14+D15</f>
        <v>4800</v>
      </c>
      <c r="E34" s="51">
        <f t="shared" si="2"/>
        <v>4800</v>
      </c>
      <c r="F34" s="51">
        <f t="shared" si="2"/>
        <v>4800</v>
      </c>
      <c r="G34" s="51">
        <f t="shared" si="2"/>
        <v>4800</v>
      </c>
      <c r="H34" s="51">
        <f t="shared" si="2"/>
        <v>4800</v>
      </c>
      <c r="I34" s="51">
        <f t="shared" si="2"/>
        <v>4800</v>
      </c>
      <c r="J34" s="51">
        <f t="shared" si="2"/>
        <v>4800</v>
      </c>
      <c r="K34" s="51">
        <f t="shared" si="2"/>
        <v>4800</v>
      </c>
      <c r="L34" s="51">
        <f t="shared" si="2"/>
        <v>4800</v>
      </c>
      <c r="M34" s="51">
        <f t="shared" si="2"/>
        <v>4800</v>
      </c>
      <c r="N34" s="51">
        <f t="shared" si="2"/>
        <v>4800</v>
      </c>
      <c r="O34" s="51">
        <f t="shared" si="2"/>
        <v>4800</v>
      </c>
      <c r="P34" s="51">
        <f t="shared" si="2"/>
        <v>12200</v>
      </c>
      <c r="Q34" s="51">
        <f t="shared" si="2"/>
        <v>12200</v>
      </c>
      <c r="R34" s="51">
        <f t="shared" si="2"/>
        <v>12200</v>
      </c>
      <c r="S34" s="51">
        <f t="shared" si="2"/>
        <v>12200</v>
      </c>
      <c r="T34" s="51">
        <f t="shared" si="2"/>
        <v>12200</v>
      </c>
      <c r="U34" s="51">
        <f t="shared" si="2"/>
        <v>12200</v>
      </c>
      <c r="V34" s="51">
        <f t="shared" si="2"/>
        <v>12200</v>
      </c>
      <c r="W34" s="51">
        <f t="shared" si="2"/>
        <v>12200</v>
      </c>
      <c r="X34" s="51">
        <f t="shared" si="2"/>
        <v>12200</v>
      </c>
      <c r="Y34" s="51">
        <f t="shared" si="2"/>
        <v>12200</v>
      </c>
      <c r="Z34" s="51">
        <f t="shared" si="2"/>
        <v>12200</v>
      </c>
      <c r="AA34" s="51">
        <f t="shared" si="2"/>
        <v>12200</v>
      </c>
      <c r="AB34" s="51">
        <f t="shared" si="2"/>
        <v>17500</v>
      </c>
      <c r="AC34" s="51">
        <f t="shared" si="2"/>
        <v>17500</v>
      </c>
      <c r="AD34" s="51">
        <f t="shared" si="2"/>
        <v>17500</v>
      </c>
      <c r="AE34" s="51">
        <f t="shared" si="2"/>
        <v>17500</v>
      </c>
      <c r="AF34" s="51">
        <f t="shared" si="2"/>
        <v>17500</v>
      </c>
      <c r="AG34" s="51">
        <f t="shared" si="2"/>
        <v>17500</v>
      </c>
      <c r="AH34" s="51">
        <f t="shared" si="2"/>
        <v>17500</v>
      </c>
      <c r="AI34" s="51">
        <f t="shared" si="2"/>
        <v>17500</v>
      </c>
      <c r="AJ34" s="51">
        <f t="shared" si="2"/>
        <v>17500</v>
      </c>
      <c r="AK34" s="51">
        <f t="shared" si="2"/>
        <v>17500</v>
      </c>
      <c r="AL34" s="51">
        <f t="shared" si="2"/>
        <v>17500</v>
      </c>
      <c r="AM34" s="51">
        <f t="shared" si="2"/>
        <v>17500</v>
      </c>
      <c r="AN34" s="51">
        <f t="shared" ref="AN34:AN48" si="3">SUM(D34:O34)</f>
        <v>57600</v>
      </c>
      <c r="AO34" s="51">
        <f t="shared" ref="AO34:AO48" si="4">SUM(P34:AA34)</f>
        <v>146400</v>
      </c>
      <c r="AP34" s="51">
        <f>SUM(AB34:AM34)</f>
        <v>210000</v>
      </c>
    </row>
    <row r="35" spans="2:42" ht="15" customHeight="1">
      <c r="B35" s="49" t="s">
        <v>202</v>
      </c>
      <c r="D35" s="51">
        <f t="shared" ref="D35:AM35" si="5">D17</f>
        <v>0</v>
      </c>
      <c r="E35" s="51">
        <f t="shared" si="5"/>
        <v>0</v>
      </c>
      <c r="F35" s="51">
        <f t="shared" si="5"/>
        <v>400</v>
      </c>
      <c r="G35" s="51">
        <f t="shared" si="5"/>
        <v>0</v>
      </c>
      <c r="H35" s="51">
        <f t="shared" si="5"/>
        <v>0</v>
      </c>
      <c r="I35" s="51">
        <f t="shared" si="5"/>
        <v>0</v>
      </c>
      <c r="J35" s="51">
        <f t="shared" si="5"/>
        <v>0</v>
      </c>
      <c r="K35" s="51">
        <f t="shared" si="5"/>
        <v>0</v>
      </c>
      <c r="L35" s="51">
        <f t="shared" si="5"/>
        <v>0</v>
      </c>
      <c r="M35" s="51">
        <f t="shared" si="5"/>
        <v>0</v>
      </c>
      <c r="N35" s="51">
        <f t="shared" si="5"/>
        <v>0</v>
      </c>
      <c r="O35" s="51">
        <f t="shared" si="5"/>
        <v>0</v>
      </c>
      <c r="P35" s="51">
        <f t="shared" si="5"/>
        <v>0</v>
      </c>
      <c r="Q35" s="51">
        <f t="shared" si="5"/>
        <v>0</v>
      </c>
      <c r="R35" s="51">
        <f t="shared" si="5"/>
        <v>400</v>
      </c>
      <c r="S35" s="51">
        <f t="shared" si="5"/>
        <v>0</v>
      </c>
      <c r="T35" s="51">
        <f t="shared" si="5"/>
        <v>0</v>
      </c>
      <c r="U35" s="51">
        <f t="shared" si="5"/>
        <v>0</v>
      </c>
      <c r="V35" s="51">
        <f t="shared" si="5"/>
        <v>0</v>
      </c>
      <c r="W35" s="51">
        <f t="shared" si="5"/>
        <v>0</v>
      </c>
      <c r="X35" s="51">
        <f t="shared" si="5"/>
        <v>0</v>
      </c>
      <c r="Y35" s="51">
        <f t="shared" si="5"/>
        <v>0</v>
      </c>
      <c r="Z35" s="51">
        <f t="shared" si="5"/>
        <v>0</v>
      </c>
      <c r="AA35" s="51">
        <f t="shared" si="5"/>
        <v>0</v>
      </c>
      <c r="AB35" s="51">
        <f t="shared" si="5"/>
        <v>0</v>
      </c>
      <c r="AC35" s="51">
        <f t="shared" si="5"/>
        <v>0</v>
      </c>
      <c r="AD35" s="51">
        <f t="shared" si="5"/>
        <v>400</v>
      </c>
      <c r="AE35" s="51">
        <f t="shared" si="5"/>
        <v>0</v>
      </c>
      <c r="AF35" s="51">
        <f t="shared" si="5"/>
        <v>0</v>
      </c>
      <c r="AG35" s="51">
        <f t="shared" si="5"/>
        <v>0</v>
      </c>
      <c r="AH35" s="51">
        <f t="shared" si="5"/>
        <v>0</v>
      </c>
      <c r="AI35" s="51">
        <f t="shared" si="5"/>
        <v>0</v>
      </c>
      <c r="AJ35" s="51">
        <f t="shared" si="5"/>
        <v>0</v>
      </c>
      <c r="AK35" s="51">
        <f t="shared" si="5"/>
        <v>0</v>
      </c>
      <c r="AL35" s="51">
        <f t="shared" si="5"/>
        <v>0</v>
      </c>
      <c r="AM35" s="51">
        <f t="shared" si="5"/>
        <v>0</v>
      </c>
      <c r="AN35" s="51">
        <f t="shared" si="3"/>
        <v>400</v>
      </c>
      <c r="AO35" s="51">
        <f t="shared" si="4"/>
        <v>400</v>
      </c>
      <c r="AP35" s="51">
        <f>SUM(AB35:AM35)</f>
        <v>400</v>
      </c>
    </row>
    <row r="36" spans="2:42" ht="15" customHeight="1">
      <c r="B36" s="52" t="s">
        <v>203</v>
      </c>
      <c r="D36" s="47">
        <f t="shared" ref="D36:AM36" si="6">D19</f>
        <v>55</v>
      </c>
      <c r="E36" s="47">
        <f t="shared" si="6"/>
        <v>55</v>
      </c>
      <c r="F36" s="47">
        <f t="shared" si="6"/>
        <v>55</v>
      </c>
      <c r="G36" s="47">
        <f t="shared" si="6"/>
        <v>55</v>
      </c>
      <c r="H36" s="47">
        <f t="shared" si="6"/>
        <v>55</v>
      </c>
      <c r="I36" s="47">
        <f t="shared" si="6"/>
        <v>120</v>
      </c>
      <c r="J36" s="47">
        <f t="shared" si="6"/>
        <v>120</v>
      </c>
      <c r="K36" s="47">
        <f t="shared" si="6"/>
        <v>120</v>
      </c>
      <c r="L36" s="47">
        <f t="shared" si="6"/>
        <v>120</v>
      </c>
      <c r="M36" s="47">
        <f t="shared" si="6"/>
        <v>120</v>
      </c>
      <c r="N36" s="47">
        <f t="shared" si="6"/>
        <v>120</v>
      </c>
      <c r="O36" s="47">
        <f t="shared" si="6"/>
        <v>120</v>
      </c>
      <c r="P36" s="47">
        <f t="shared" si="6"/>
        <v>120</v>
      </c>
      <c r="Q36" s="47">
        <f t="shared" si="6"/>
        <v>120</v>
      </c>
      <c r="R36" s="47">
        <f t="shared" si="6"/>
        <v>120</v>
      </c>
      <c r="S36" s="47">
        <f t="shared" si="6"/>
        <v>120</v>
      </c>
      <c r="T36" s="47">
        <f t="shared" si="6"/>
        <v>120</v>
      </c>
      <c r="U36" s="47">
        <f t="shared" si="6"/>
        <v>250</v>
      </c>
      <c r="V36" s="47">
        <f t="shared" si="6"/>
        <v>250</v>
      </c>
      <c r="W36" s="47">
        <f t="shared" si="6"/>
        <v>250</v>
      </c>
      <c r="X36" s="47">
        <f t="shared" si="6"/>
        <v>250</v>
      </c>
      <c r="Y36" s="47">
        <f t="shared" si="6"/>
        <v>320</v>
      </c>
      <c r="Z36" s="47">
        <f t="shared" si="6"/>
        <v>320</v>
      </c>
      <c r="AA36" s="47">
        <f t="shared" si="6"/>
        <v>320</v>
      </c>
      <c r="AB36" s="47">
        <f t="shared" si="6"/>
        <v>450</v>
      </c>
      <c r="AC36" s="47">
        <f t="shared" si="6"/>
        <v>450</v>
      </c>
      <c r="AD36" s="47">
        <f t="shared" si="6"/>
        <v>450</v>
      </c>
      <c r="AE36" s="47">
        <f t="shared" si="6"/>
        <v>450</v>
      </c>
      <c r="AF36" s="47">
        <f t="shared" si="6"/>
        <v>450</v>
      </c>
      <c r="AG36" s="47">
        <f t="shared" si="6"/>
        <v>450</v>
      </c>
      <c r="AH36" s="47">
        <f t="shared" si="6"/>
        <v>450</v>
      </c>
      <c r="AI36" s="47">
        <f t="shared" si="6"/>
        <v>450</v>
      </c>
      <c r="AJ36" s="47">
        <f t="shared" si="6"/>
        <v>450</v>
      </c>
      <c r="AK36" s="47">
        <f t="shared" si="6"/>
        <v>450</v>
      </c>
      <c r="AL36" s="47">
        <f t="shared" si="6"/>
        <v>450</v>
      </c>
      <c r="AM36" s="47">
        <f t="shared" si="6"/>
        <v>450</v>
      </c>
      <c r="AN36" s="51">
        <f t="shared" si="3"/>
        <v>1115</v>
      </c>
      <c r="AO36" s="51">
        <f t="shared" si="4"/>
        <v>2560</v>
      </c>
      <c r="AP36" s="51">
        <f>SUM(Q36:AB36)</f>
        <v>2890</v>
      </c>
    </row>
    <row r="37" spans="2:42" ht="15" customHeight="1">
      <c r="B37" s="52" t="s">
        <v>204</v>
      </c>
      <c r="D37" s="47">
        <f t="shared" ref="D37:AM37" si="7">D20</f>
        <v>60</v>
      </c>
      <c r="E37" s="47">
        <f t="shared" si="7"/>
        <v>60</v>
      </c>
      <c r="F37" s="47">
        <f t="shared" si="7"/>
        <v>60</v>
      </c>
      <c r="G37" s="47">
        <f t="shared" si="7"/>
        <v>60</v>
      </c>
      <c r="H37" s="47">
        <f t="shared" si="7"/>
        <v>60</v>
      </c>
      <c r="I37" s="47">
        <f t="shared" si="7"/>
        <v>60</v>
      </c>
      <c r="J37" s="47">
        <f t="shared" si="7"/>
        <v>60</v>
      </c>
      <c r="K37" s="47">
        <f t="shared" si="7"/>
        <v>60</v>
      </c>
      <c r="L37" s="47">
        <f t="shared" si="7"/>
        <v>60</v>
      </c>
      <c r="M37" s="47">
        <f t="shared" si="7"/>
        <v>60</v>
      </c>
      <c r="N37" s="47">
        <f t="shared" si="7"/>
        <v>60</v>
      </c>
      <c r="O37" s="47">
        <f t="shared" si="7"/>
        <v>60</v>
      </c>
      <c r="P37" s="47">
        <f t="shared" si="7"/>
        <v>60</v>
      </c>
      <c r="Q37" s="47">
        <f t="shared" si="7"/>
        <v>60</v>
      </c>
      <c r="R37" s="47">
        <f t="shared" si="7"/>
        <v>60</v>
      </c>
      <c r="S37" s="47">
        <f t="shared" si="7"/>
        <v>60</v>
      </c>
      <c r="T37" s="47">
        <f t="shared" si="7"/>
        <v>60</v>
      </c>
      <c r="U37" s="47">
        <f t="shared" si="7"/>
        <v>60</v>
      </c>
      <c r="V37" s="47">
        <f t="shared" si="7"/>
        <v>60</v>
      </c>
      <c r="W37" s="47">
        <f t="shared" si="7"/>
        <v>60</v>
      </c>
      <c r="X37" s="47">
        <f t="shared" si="7"/>
        <v>60</v>
      </c>
      <c r="Y37" s="47">
        <f t="shared" si="7"/>
        <v>60</v>
      </c>
      <c r="Z37" s="47">
        <f t="shared" si="7"/>
        <v>60</v>
      </c>
      <c r="AA37" s="47">
        <f t="shared" si="7"/>
        <v>60</v>
      </c>
      <c r="AB37" s="47">
        <f t="shared" si="7"/>
        <v>60</v>
      </c>
      <c r="AC37" s="47">
        <f t="shared" si="7"/>
        <v>60</v>
      </c>
      <c r="AD37" s="47">
        <f t="shared" si="7"/>
        <v>60</v>
      </c>
      <c r="AE37" s="47">
        <f t="shared" si="7"/>
        <v>60</v>
      </c>
      <c r="AF37" s="47">
        <f t="shared" si="7"/>
        <v>60</v>
      </c>
      <c r="AG37" s="47">
        <f t="shared" si="7"/>
        <v>60</v>
      </c>
      <c r="AH37" s="47">
        <f t="shared" si="7"/>
        <v>60</v>
      </c>
      <c r="AI37" s="47">
        <f t="shared" si="7"/>
        <v>60</v>
      </c>
      <c r="AJ37" s="47">
        <f t="shared" si="7"/>
        <v>60</v>
      </c>
      <c r="AK37" s="47">
        <f t="shared" si="7"/>
        <v>60</v>
      </c>
      <c r="AL37" s="47">
        <f t="shared" si="7"/>
        <v>60</v>
      </c>
      <c r="AM37" s="47">
        <f t="shared" si="7"/>
        <v>60</v>
      </c>
      <c r="AN37" s="51">
        <f t="shared" si="3"/>
        <v>720</v>
      </c>
      <c r="AO37" s="51">
        <f t="shared" si="4"/>
        <v>720</v>
      </c>
      <c r="AP37" s="51">
        <f t="shared" ref="AP37:AP48" si="8">SUM(AB37:AM37)</f>
        <v>720</v>
      </c>
    </row>
    <row r="38" spans="2:42" ht="15" customHeight="1">
      <c r="B38" s="52" t="s">
        <v>205</v>
      </c>
      <c r="D38" s="47">
        <f t="shared" ref="D38:AM38" si="9">D21</f>
        <v>0</v>
      </c>
      <c r="E38" s="47">
        <f t="shared" si="9"/>
        <v>0</v>
      </c>
      <c r="F38" s="47">
        <f t="shared" si="9"/>
        <v>0</v>
      </c>
      <c r="G38" s="47">
        <f t="shared" si="9"/>
        <v>0</v>
      </c>
      <c r="H38" s="47">
        <f t="shared" si="9"/>
        <v>0</v>
      </c>
      <c r="I38" s="47">
        <f t="shared" si="9"/>
        <v>0</v>
      </c>
      <c r="J38" s="47">
        <f t="shared" si="9"/>
        <v>0</v>
      </c>
      <c r="K38" s="47">
        <f t="shared" si="9"/>
        <v>0</v>
      </c>
      <c r="L38" s="47">
        <f t="shared" si="9"/>
        <v>100</v>
      </c>
      <c r="M38" s="47">
        <f t="shared" si="9"/>
        <v>100</v>
      </c>
      <c r="N38" s="47">
        <f t="shared" si="9"/>
        <v>100</v>
      </c>
      <c r="O38" s="47">
        <f t="shared" si="9"/>
        <v>100</v>
      </c>
      <c r="P38" s="47">
        <f t="shared" si="9"/>
        <v>100</v>
      </c>
      <c r="Q38" s="47">
        <f t="shared" si="9"/>
        <v>100</v>
      </c>
      <c r="R38" s="47">
        <f t="shared" si="9"/>
        <v>100</v>
      </c>
      <c r="S38" s="47">
        <f t="shared" si="9"/>
        <v>100</v>
      </c>
      <c r="T38" s="47">
        <f t="shared" si="9"/>
        <v>100</v>
      </c>
      <c r="U38" s="47">
        <f t="shared" si="9"/>
        <v>100</v>
      </c>
      <c r="V38" s="47">
        <f t="shared" si="9"/>
        <v>100</v>
      </c>
      <c r="W38" s="47">
        <f t="shared" si="9"/>
        <v>100</v>
      </c>
      <c r="X38" s="47">
        <f t="shared" si="9"/>
        <v>100</v>
      </c>
      <c r="Y38" s="47">
        <f t="shared" si="9"/>
        <v>100</v>
      </c>
      <c r="Z38" s="47">
        <f t="shared" si="9"/>
        <v>100</v>
      </c>
      <c r="AA38" s="47">
        <f t="shared" si="9"/>
        <v>100</v>
      </c>
      <c r="AB38" s="47">
        <f t="shared" si="9"/>
        <v>100</v>
      </c>
      <c r="AC38" s="47">
        <f t="shared" si="9"/>
        <v>100</v>
      </c>
      <c r="AD38" s="47">
        <f t="shared" si="9"/>
        <v>100</v>
      </c>
      <c r="AE38" s="47">
        <f t="shared" si="9"/>
        <v>100</v>
      </c>
      <c r="AF38" s="47">
        <f t="shared" si="9"/>
        <v>100</v>
      </c>
      <c r="AG38" s="47">
        <f t="shared" si="9"/>
        <v>100</v>
      </c>
      <c r="AH38" s="47">
        <f t="shared" si="9"/>
        <v>100</v>
      </c>
      <c r="AI38" s="47">
        <f t="shared" si="9"/>
        <v>100</v>
      </c>
      <c r="AJ38" s="47">
        <f t="shared" si="9"/>
        <v>100</v>
      </c>
      <c r="AK38" s="47">
        <f t="shared" si="9"/>
        <v>100</v>
      </c>
      <c r="AL38" s="47">
        <f t="shared" si="9"/>
        <v>100</v>
      </c>
      <c r="AM38" s="47">
        <f t="shared" si="9"/>
        <v>100</v>
      </c>
      <c r="AN38" s="51">
        <f t="shared" si="3"/>
        <v>400</v>
      </c>
      <c r="AO38" s="51">
        <f t="shared" si="4"/>
        <v>1200</v>
      </c>
      <c r="AP38" s="51">
        <f t="shared" si="8"/>
        <v>1200</v>
      </c>
    </row>
    <row r="39" spans="2:42" ht="15" customHeight="1">
      <c r="B39" s="52" t="s">
        <v>206</v>
      </c>
      <c r="D39" s="47">
        <f t="shared" ref="D39:AM39" si="10">D22</f>
        <v>0</v>
      </c>
      <c r="E39" s="47">
        <f t="shared" si="10"/>
        <v>0</v>
      </c>
      <c r="F39" s="47">
        <f t="shared" si="10"/>
        <v>0</v>
      </c>
      <c r="G39" s="47">
        <f t="shared" si="10"/>
        <v>0</v>
      </c>
      <c r="H39" s="47">
        <f t="shared" si="10"/>
        <v>0</v>
      </c>
      <c r="I39" s="47">
        <f t="shared" si="10"/>
        <v>0</v>
      </c>
      <c r="J39" s="47">
        <f t="shared" si="10"/>
        <v>0</v>
      </c>
      <c r="K39" s="47">
        <f t="shared" si="10"/>
        <v>0</v>
      </c>
      <c r="L39" s="47">
        <f t="shared" si="10"/>
        <v>50</v>
      </c>
      <c r="M39" s="47">
        <f t="shared" si="10"/>
        <v>50</v>
      </c>
      <c r="N39" s="47">
        <f t="shared" si="10"/>
        <v>50</v>
      </c>
      <c r="O39" s="47">
        <f t="shared" si="10"/>
        <v>50</v>
      </c>
      <c r="P39" s="47">
        <f t="shared" si="10"/>
        <v>50</v>
      </c>
      <c r="Q39" s="47">
        <f t="shared" si="10"/>
        <v>50</v>
      </c>
      <c r="R39" s="47">
        <f t="shared" si="10"/>
        <v>50</v>
      </c>
      <c r="S39" s="47">
        <f t="shared" si="10"/>
        <v>50</v>
      </c>
      <c r="T39" s="47">
        <f t="shared" si="10"/>
        <v>50</v>
      </c>
      <c r="U39" s="47">
        <f t="shared" si="10"/>
        <v>50</v>
      </c>
      <c r="V39" s="47">
        <f t="shared" si="10"/>
        <v>50</v>
      </c>
      <c r="W39" s="47">
        <f t="shared" si="10"/>
        <v>50</v>
      </c>
      <c r="X39" s="47">
        <f t="shared" si="10"/>
        <v>50</v>
      </c>
      <c r="Y39" s="47">
        <f t="shared" si="10"/>
        <v>50</v>
      </c>
      <c r="Z39" s="47">
        <f t="shared" si="10"/>
        <v>50</v>
      </c>
      <c r="AA39" s="47">
        <f t="shared" si="10"/>
        <v>50</v>
      </c>
      <c r="AB39" s="47">
        <f t="shared" si="10"/>
        <v>50</v>
      </c>
      <c r="AC39" s="47">
        <f t="shared" si="10"/>
        <v>50</v>
      </c>
      <c r="AD39" s="47">
        <f t="shared" si="10"/>
        <v>50</v>
      </c>
      <c r="AE39" s="47">
        <f t="shared" si="10"/>
        <v>50</v>
      </c>
      <c r="AF39" s="47">
        <f t="shared" si="10"/>
        <v>50</v>
      </c>
      <c r="AG39" s="47">
        <f t="shared" si="10"/>
        <v>50</v>
      </c>
      <c r="AH39" s="47">
        <f t="shared" si="10"/>
        <v>50</v>
      </c>
      <c r="AI39" s="47">
        <f t="shared" si="10"/>
        <v>50</v>
      </c>
      <c r="AJ39" s="47">
        <f t="shared" si="10"/>
        <v>50</v>
      </c>
      <c r="AK39" s="47">
        <f t="shared" si="10"/>
        <v>50</v>
      </c>
      <c r="AL39" s="47">
        <f t="shared" si="10"/>
        <v>50</v>
      </c>
      <c r="AM39" s="47">
        <f t="shared" si="10"/>
        <v>50</v>
      </c>
      <c r="AN39" s="51">
        <f t="shared" si="3"/>
        <v>200</v>
      </c>
      <c r="AO39" s="51">
        <f t="shared" si="4"/>
        <v>600</v>
      </c>
      <c r="AP39" s="51">
        <f t="shared" si="8"/>
        <v>600</v>
      </c>
    </row>
    <row r="40" spans="2:42" ht="15" customHeight="1">
      <c r="B40" s="52" t="s">
        <v>219</v>
      </c>
      <c r="D40" s="47">
        <f t="shared" ref="D40:AM40" si="11">D23</f>
        <v>79</v>
      </c>
      <c r="E40" s="47">
        <f t="shared" si="11"/>
        <v>79</v>
      </c>
      <c r="F40" s="47">
        <f t="shared" si="11"/>
        <v>79</v>
      </c>
      <c r="G40" s="47">
        <f t="shared" si="11"/>
        <v>79</v>
      </c>
      <c r="H40" s="47">
        <f t="shared" si="11"/>
        <v>79</v>
      </c>
      <c r="I40" s="47">
        <f t="shared" si="11"/>
        <v>79</v>
      </c>
      <c r="J40" s="47">
        <f t="shared" si="11"/>
        <v>79</v>
      </c>
      <c r="K40" s="47">
        <f t="shared" si="11"/>
        <v>79</v>
      </c>
      <c r="L40" s="47">
        <f t="shared" si="11"/>
        <v>79</v>
      </c>
      <c r="M40" s="47">
        <f t="shared" si="11"/>
        <v>79</v>
      </c>
      <c r="N40" s="47">
        <f t="shared" si="11"/>
        <v>79</v>
      </c>
      <c r="O40" s="47">
        <f t="shared" si="11"/>
        <v>79</v>
      </c>
      <c r="P40" s="47">
        <f t="shared" si="11"/>
        <v>79</v>
      </c>
      <c r="Q40" s="47">
        <f t="shared" si="11"/>
        <v>79</v>
      </c>
      <c r="R40" s="47">
        <f t="shared" si="11"/>
        <v>79</v>
      </c>
      <c r="S40" s="47">
        <f t="shared" si="11"/>
        <v>79</v>
      </c>
      <c r="T40" s="47">
        <f t="shared" si="11"/>
        <v>79</v>
      </c>
      <c r="U40" s="47">
        <f t="shared" si="11"/>
        <v>79</v>
      </c>
      <c r="V40" s="47">
        <f t="shared" si="11"/>
        <v>79</v>
      </c>
      <c r="W40" s="47">
        <f t="shared" si="11"/>
        <v>79</v>
      </c>
      <c r="X40" s="47">
        <f t="shared" si="11"/>
        <v>79</v>
      </c>
      <c r="Y40" s="47">
        <f t="shared" si="11"/>
        <v>79</v>
      </c>
      <c r="Z40" s="47">
        <f t="shared" si="11"/>
        <v>79</v>
      </c>
      <c r="AA40" s="47">
        <f t="shared" si="11"/>
        <v>79</v>
      </c>
      <c r="AB40" s="47">
        <f t="shared" si="11"/>
        <v>79</v>
      </c>
      <c r="AC40" s="47">
        <f t="shared" si="11"/>
        <v>79</v>
      </c>
      <c r="AD40" s="47">
        <f t="shared" si="11"/>
        <v>79</v>
      </c>
      <c r="AE40" s="47">
        <f t="shared" si="11"/>
        <v>79</v>
      </c>
      <c r="AF40" s="47">
        <f t="shared" si="11"/>
        <v>79</v>
      </c>
      <c r="AG40" s="47">
        <f t="shared" si="11"/>
        <v>79</v>
      </c>
      <c r="AH40" s="47">
        <f t="shared" si="11"/>
        <v>79</v>
      </c>
      <c r="AI40" s="47">
        <f t="shared" si="11"/>
        <v>79</v>
      </c>
      <c r="AJ40" s="47">
        <f t="shared" si="11"/>
        <v>79</v>
      </c>
      <c r="AK40" s="47">
        <f t="shared" si="11"/>
        <v>79</v>
      </c>
      <c r="AL40" s="47">
        <f t="shared" si="11"/>
        <v>79</v>
      </c>
      <c r="AM40" s="47">
        <f t="shared" si="11"/>
        <v>79</v>
      </c>
      <c r="AN40" s="51">
        <f t="shared" si="3"/>
        <v>948</v>
      </c>
      <c r="AO40" s="51">
        <f t="shared" si="4"/>
        <v>948</v>
      </c>
      <c r="AP40" s="51">
        <f t="shared" si="8"/>
        <v>948</v>
      </c>
    </row>
    <row r="41" spans="2:42" ht="15" customHeight="1">
      <c r="B41" s="52" t="s">
        <v>220</v>
      </c>
      <c r="D41" s="47">
        <f t="shared" ref="D41:AM41" si="12">D24</f>
        <v>39.5</v>
      </c>
      <c r="E41" s="47">
        <f t="shared" si="12"/>
        <v>39.5</v>
      </c>
      <c r="F41" s="47">
        <f t="shared" si="12"/>
        <v>39.5</v>
      </c>
      <c r="G41" s="47">
        <f t="shared" si="12"/>
        <v>39.5</v>
      </c>
      <c r="H41" s="47">
        <f t="shared" si="12"/>
        <v>39.5</v>
      </c>
      <c r="I41" s="47">
        <f t="shared" si="12"/>
        <v>39.5</v>
      </c>
      <c r="J41" s="47">
        <f t="shared" si="12"/>
        <v>39.5</v>
      </c>
      <c r="K41" s="47">
        <f t="shared" si="12"/>
        <v>39.5</v>
      </c>
      <c r="L41" s="47">
        <f t="shared" si="12"/>
        <v>39.5</v>
      </c>
      <c r="M41" s="47">
        <f t="shared" si="12"/>
        <v>39.5</v>
      </c>
      <c r="N41" s="47">
        <f t="shared" si="12"/>
        <v>39.5</v>
      </c>
      <c r="O41" s="47">
        <f t="shared" si="12"/>
        <v>39.5</v>
      </c>
      <c r="P41" s="47">
        <f t="shared" si="12"/>
        <v>85</v>
      </c>
      <c r="Q41" s="47">
        <f t="shared" si="12"/>
        <v>85</v>
      </c>
      <c r="R41" s="47">
        <f t="shared" si="12"/>
        <v>85</v>
      </c>
      <c r="S41" s="47">
        <f t="shared" si="12"/>
        <v>85</v>
      </c>
      <c r="T41" s="47">
        <f t="shared" si="12"/>
        <v>85</v>
      </c>
      <c r="U41" s="47">
        <f t="shared" si="12"/>
        <v>85</v>
      </c>
      <c r="V41" s="47">
        <f t="shared" si="12"/>
        <v>85</v>
      </c>
      <c r="W41" s="47">
        <f t="shared" si="12"/>
        <v>85</v>
      </c>
      <c r="X41" s="47">
        <f t="shared" si="12"/>
        <v>85</v>
      </c>
      <c r="Y41" s="47">
        <f t="shared" si="12"/>
        <v>85</v>
      </c>
      <c r="Z41" s="47">
        <f t="shared" si="12"/>
        <v>85</v>
      </c>
      <c r="AA41" s="47">
        <f t="shared" si="12"/>
        <v>85</v>
      </c>
      <c r="AB41" s="47">
        <f t="shared" si="12"/>
        <v>158</v>
      </c>
      <c r="AC41" s="47">
        <f t="shared" si="12"/>
        <v>158</v>
      </c>
      <c r="AD41" s="47">
        <f t="shared" si="12"/>
        <v>158</v>
      </c>
      <c r="AE41" s="47">
        <f t="shared" si="12"/>
        <v>158</v>
      </c>
      <c r="AF41" s="47">
        <f t="shared" si="12"/>
        <v>158</v>
      </c>
      <c r="AG41" s="47">
        <f t="shared" si="12"/>
        <v>158</v>
      </c>
      <c r="AH41" s="47">
        <f t="shared" si="12"/>
        <v>158</v>
      </c>
      <c r="AI41" s="47">
        <f t="shared" si="12"/>
        <v>158</v>
      </c>
      <c r="AJ41" s="47">
        <f t="shared" si="12"/>
        <v>158</v>
      </c>
      <c r="AK41" s="47">
        <f t="shared" si="12"/>
        <v>158</v>
      </c>
      <c r="AL41" s="47">
        <f t="shared" si="12"/>
        <v>158</v>
      </c>
      <c r="AM41" s="47">
        <f t="shared" si="12"/>
        <v>158</v>
      </c>
      <c r="AN41" s="51">
        <f t="shared" si="3"/>
        <v>474</v>
      </c>
      <c r="AO41" s="51">
        <f t="shared" si="4"/>
        <v>1020</v>
      </c>
      <c r="AP41" s="51">
        <f t="shared" si="8"/>
        <v>1896</v>
      </c>
    </row>
    <row r="42" spans="2:42" ht="15" customHeight="1">
      <c r="B42" s="52" t="s">
        <v>221</v>
      </c>
      <c r="D42" s="47">
        <f t="shared" ref="D42:AM42" si="13">D25</f>
        <v>200</v>
      </c>
      <c r="E42" s="47">
        <f t="shared" si="13"/>
        <v>200</v>
      </c>
      <c r="F42" s="47">
        <f t="shared" si="13"/>
        <v>200</v>
      </c>
      <c r="G42" s="47">
        <f t="shared" si="13"/>
        <v>200</v>
      </c>
      <c r="H42" s="47">
        <f t="shared" si="13"/>
        <v>200</v>
      </c>
      <c r="I42" s="47">
        <f t="shared" si="13"/>
        <v>200</v>
      </c>
      <c r="J42" s="47">
        <f t="shared" si="13"/>
        <v>200</v>
      </c>
      <c r="K42" s="47">
        <f t="shared" si="13"/>
        <v>200</v>
      </c>
      <c r="L42" s="47">
        <f t="shared" si="13"/>
        <v>200</v>
      </c>
      <c r="M42" s="47">
        <f t="shared" si="13"/>
        <v>200</v>
      </c>
      <c r="N42" s="47">
        <f t="shared" si="13"/>
        <v>200</v>
      </c>
      <c r="O42" s="47">
        <f t="shared" si="13"/>
        <v>200</v>
      </c>
      <c r="P42" s="47">
        <f t="shared" si="13"/>
        <v>350</v>
      </c>
      <c r="Q42" s="47">
        <f t="shared" si="13"/>
        <v>350</v>
      </c>
      <c r="R42" s="47">
        <f t="shared" si="13"/>
        <v>350</v>
      </c>
      <c r="S42" s="47">
        <f t="shared" si="13"/>
        <v>350</v>
      </c>
      <c r="T42" s="47">
        <f t="shared" si="13"/>
        <v>350</v>
      </c>
      <c r="U42" s="47">
        <f t="shared" si="13"/>
        <v>350</v>
      </c>
      <c r="V42" s="47">
        <f t="shared" si="13"/>
        <v>350</v>
      </c>
      <c r="W42" s="47">
        <f t="shared" si="13"/>
        <v>350</v>
      </c>
      <c r="X42" s="47">
        <f t="shared" si="13"/>
        <v>350</v>
      </c>
      <c r="Y42" s="47">
        <f t="shared" si="13"/>
        <v>350</v>
      </c>
      <c r="Z42" s="47">
        <f t="shared" si="13"/>
        <v>350</v>
      </c>
      <c r="AA42" s="47">
        <f t="shared" si="13"/>
        <v>350</v>
      </c>
      <c r="AB42" s="47">
        <f t="shared" si="13"/>
        <v>500</v>
      </c>
      <c r="AC42" s="47">
        <f t="shared" si="13"/>
        <v>500</v>
      </c>
      <c r="AD42" s="47">
        <f t="shared" si="13"/>
        <v>500</v>
      </c>
      <c r="AE42" s="47">
        <f t="shared" si="13"/>
        <v>500</v>
      </c>
      <c r="AF42" s="47">
        <f t="shared" si="13"/>
        <v>500</v>
      </c>
      <c r="AG42" s="47">
        <f t="shared" si="13"/>
        <v>500</v>
      </c>
      <c r="AH42" s="47">
        <f t="shared" si="13"/>
        <v>500</v>
      </c>
      <c r="AI42" s="47">
        <f t="shared" si="13"/>
        <v>500</v>
      </c>
      <c r="AJ42" s="47">
        <f t="shared" si="13"/>
        <v>500</v>
      </c>
      <c r="AK42" s="47">
        <f t="shared" si="13"/>
        <v>500</v>
      </c>
      <c r="AL42" s="47">
        <f t="shared" si="13"/>
        <v>500</v>
      </c>
      <c r="AM42" s="47">
        <f t="shared" si="13"/>
        <v>500</v>
      </c>
      <c r="AN42" s="51">
        <f t="shared" si="3"/>
        <v>2400</v>
      </c>
      <c r="AO42" s="51">
        <f t="shared" si="4"/>
        <v>4200</v>
      </c>
      <c r="AP42" s="51">
        <f t="shared" si="8"/>
        <v>6000</v>
      </c>
    </row>
    <row r="43" spans="2:42" ht="15" customHeight="1">
      <c r="B43" s="52" t="s">
        <v>210</v>
      </c>
      <c r="D43" s="47">
        <f t="shared" ref="D43:AM43" si="14">D26</f>
        <v>1000</v>
      </c>
      <c r="E43" s="47">
        <f t="shared" si="14"/>
        <v>1250</v>
      </c>
      <c r="F43" s="47">
        <f t="shared" si="14"/>
        <v>0</v>
      </c>
      <c r="G43" s="47">
        <f t="shared" si="14"/>
        <v>0</v>
      </c>
      <c r="H43" s="47">
        <f t="shared" si="14"/>
        <v>0</v>
      </c>
      <c r="I43" s="47">
        <f t="shared" si="14"/>
        <v>120</v>
      </c>
      <c r="J43" s="47">
        <f t="shared" si="14"/>
        <v>120</v>
      </c>
      <c r="K43" s="47">
        <f t="shared" si="14"/>
        <v>120</v>
      </c>
      <c r="L43" s="47">
        <f t="shared" si="14"/>
        <v>120</v>
      </c>
      <c r="M43" s="47">
        <f t="shared" si="14"/>
        <v>120</v>
      </c>
      <c r="N43" s="47">
        <f t="shared" si="14"/>
        <v>120</v>
      </c>
      <c r="O43" s="47">
        <f t="shared" si="14"/>
        <v>120</v>
      </c>
      <c r="P43" s="47">
        <f t="shared" si="14"/>
        <v>120</v>
      </c>
      <c r="Q43" s="47">
        <f t="shared" si="14"/>
        <v>120</v>
      </c>
      <c r="R43" s="47">
        <f t="shared" si="14"/>
        <v>120</v>
      </c>
      <c r="S43" s="47">
        <f t="shared" si="14"/>
        <v>120</v>
      </c>
      <c r="T43" s="47">
        <f t="shared" si="14"/>
        <v>120</v>
      </c>
      <c r="U43" s="47">
        <f t="shared" si="14"/>
        <v>120</v>
      </c>
      <c r="V43" s="47">
        <f t="shared" si="14"/>
        <v>120</v>
      </c>
      <c r="W43" s="47">
        <f t="shared" si="14"/>
        <v>120</v>
      </c>
      <c r="X43" s="47">
        <f t="shared" si="14"/>
        <v>120</v>
      </c>
      <c r="Y43" s="47">
        <f t="shared" si="14"/>
        <v>120</v>
      </c>
      <c r="Z43" s="47">
        <f t="shared" si="14"/>
        <v>120</v>
      </c>
      <c r="AA43" s="47">
        <f t="shared" si="14"/>
        <v>120</v>
      </c>
      <c r="AB43" s="47">
        <f t="shared" si="14"/>
        <v>120</v>
      </c>
      <c r="AC43" s="47">
        <f t="shared" si="14"/>
        <v>120</v>
      </c>
      <c r="AD43" s="47">
        <f t="shared" si="14"/>
        <v>120</v>
      </c>
      <c r="AE43" s="47">
        <f t="shared" si="14"/>
        <v>120</v>
      </c>
      <c r="AF43" s="47">
        <f t="shared" si="14"/>
        <v>120</v>
      </c>
      <c r="AG43" s="47">
        <f t="shared" si="14"/>
        <v>120</v>
      </c>
      <c r="AH43" s="47">
        <f t="shared" si="14"/>
        <v>120</v>
      </c>
      <c r="AI43" s="47">
        <f t="shared" si="14"/>
        <v>120</v>
      </c>
      <c r="AJ43" s="47">
        <f t="shared" si="14"/>
        <v>120</v>
      </c>
      <c r="AK43" s="47">
        <f t="shared" si="14"/>
        <v>120</v>
      </c>
      <c r="AL43" s="47">
        <f t="shared" si="14"/>
        <v>120</v>
      </c>
      <c r="AM43" s="47">
        <f t="shared" si="14"/>
        <v>120</v>
      </c>
      <c r="AN43" s="51">
        <f t="shared" si="3"/>
        <v>3090</v>
      </c>
      <c r="AO43" s="51">
        <f t="shared" si="4"/>
        <v>1440</v>
      </c>
      <c r="AP43" s="51">
        <f t="shared" si="8"/>
        <v>1440</v>
      </c>
    </row>
    <row r="44" spans="2:42" ht="15" customHeight="1">
      <c r="B44" s="52" t="s">
        <v>222</v>
      </c>
      <c r="D44" s="47">
        <f t="shared" ref="D44:AM44" si="15">D27</f>
        <v>1400</v>
      </c>
      <c r="E44" s="47">
        <f t="shared" si="15"/>
        <v>200</v>
      </c>
      <c r="F44" s="47">
        <f t="shared" si="15"/>
        <v>200</v>
      </c>
      <c r="G44" s="47">
        <f t="shared" si="15"/>
        <v>600</v>
      </c>
      <c r="H44" s="47">
        <f t="shared" si="15"/>
        <v>200</v>
      </c>
      <c r="I44" s="47">
        <f t="shared" si="15"/>
        <v>200</v>
      </c>
      <c r="J44" s="47">
        <f t="shared" si="15"/>
        <v>600</v>
      </c>
      <c r="K44" s="47">
        <f t="shared" si="15"/>
        <v>200</v>
      </c>
      <c r="L44" s="47">
        <f t="shared" si="15"/>
        <v>200</v>
      </c>
      <c r="M44" s="47">
        <f t="shared" si="15"/>
        <v>200</v>
      </c>
      <c r="N44" s="47">
        <f t="shared" si="15"/>
        <v>200</v>
      </c>
      <c r="O44" s="47">
        <f t="shared" si="15"/>
        <v>200</v>
      </c>
      <c r="P44" s="47">
        <f t="shared" si="15"/>
        <v>200</v>
      </c>
      <c r="Q44" s="47">
        <f t="shared" si="15"/>
        <v>200</v>
      </c>
      <c r="R44" s="47">
        <f t="shared" si="15"/>
        <v>200</v>
      </c>
      <c r="S44" s="47">
        <f t="shared" si="15"/>
        <v>600</v>
      </c>
      <c r="T44" s="47">
        <f t="shared" si="15"/>
        <v>200</v>
      </c>
      <c r="U44" s="47">
        <f t="shared" si="15"/>
        <v>200</v>
      </c>
      <c r="V44" s="47">
        <f t="shared" si="15"/>
        <v>600</v>
      </c>
      <c r="W44" s="47">
        <f t="shared" si="15"/>
        <v>200</v>
      </c>
      <c r="X44" s="47">
        <f t="shared" si="15"/>
        <v>200</v>
      </c>
      <c r="Y44" s="47">
        <f t="shared" si="15"/>
        <v>200</v>
      </c>
      <c r="Z44" s="47">
        <f t="shared" si="15"/>
        <v>200</v>
      </c>
      <c r="AA44" s="47">
        <f t="shared" si="15"/>
        <v>200</v>
      </c>
      <c r="AB44" s="47">
        <f t="shared" si="15"/>
        <v>200</v>
      </c>
      <c r="AC44" s="47">
        <f t="shared" si="15"/>
        <v>200</v>
      </c>
      <c r="AD44" s="47">
        <f t="shared" si="15"/>
        <v>200</v>
      </c>
      <c r="AE44" s="47">
        <f t="shared" si="15"/>
        <v>600</v>
      </c>
      <c r="AF44" s="47">
        <f t="shared" si="15"/>
        <v>200</v>
      </c>
      <c r="AG44" s="47">
        <f t="shared" si="15"/>
        <v>200</v>
      </c>
      <c r="AH44" s="47">
        <f t="shared" si="15"/>
        <v>600</v>
      </c>
      <c r="AI44" s="47">
        <f t="shared" si="15"/>
        <v>200</v>
      </c>
      <c r="AJ44" s="47">
        <f t="shared" si="15"/>
        <v>200</v>
      </c>
      <c r="AK44" s="47">
        <f t="shared" si="15"/>
        <v>200</v>
      </c>
      <c r="AL44" s="47">
        <f t="shared" si="15"/>
        <v>200</v>
      </c>
      <c r="AM44" s="47">
        <f t="shared" si="15"/>
        <v>200</v>
      </c>
      <c r="AN44" s="51">
        <f t="shared" si="3"/>
        <v>4400</v>
      </c>
      <c r="AO44" s="51">
        <f t="shared" si="4"/>
        <v>3200</v>
      </c>
      <c r="AP44" s="51">
        <f t="shared" si="8"/>
        <v>3200</v>
      </c>
    </row>
    <row r="45" spans="2:42" ht="15" customHeight="1">
      <c r="B45" s="52" t="s">
        <v>223</v>
      </c>
      <c r="D45" s="47">
        <f t="shared" ref="D45:AM45" si="16">D28</f>
        <v>237</v>
      </c>
      <c r="E45" s="47">
        <f t="shared" si="16"/>
        <v>237</v>
      </c>
      <c r="F45" s="47">
        <f t="shared" si="16"/>
        <v>355.5</v>
      </c>
      <c r="G45" s="47">
        <f t="shared" si="16"/>
        <v>300</v>
      </c>
      <c r="H45" s="47">
        <f t="shared" si="16"/>
        <v>300</v>
      </c>
      <c r="I45" s="47">
        <f t="shared" si="16"/>
        <v>300</v>
      </c>
      <c r="J45" s="47">
        <f t="shared" si="16"/>
        <v>300</v>
      </c>
      <c r="K45" s="47">
        <f t="shared" si="16"/>
        <v>438.45000000000005</v>
      </c>
      <c r="L45" s="47">
        <f t="shared" si="16"/>
        <v>584.6</v>
      </c>
      <c r="M45" s="47">
        <f t="shared" si="16"/>
        <v>730.75</v>
      </c>
      <c r="N45" s="47">
        <f t="shared" si="16"/>
        <v>1169.2</v>
      </c>
      <c r="O45" s="47">
        <f t="shared" si="16"/>
        <v>1461.5</v>
      </c>
      <c r="P45" s="47">
        <f t="shared" si="16"/>
        <v>1461.5</v>
      </c>
      <c r="Q45" s="47">
        <f t="shared" si="16"/>
        <v>1461.5</v>
      </c>
      <c r="R45" s="47">
        <f t="shared" si="16"/>
        <v>1580</v>
      </c>
      <c r="S45" s="47">
        <f t="shared" si="16"/>
        <v>1580</v>
      </c>
      <c r="T45" s="47">
        <f t="shared" si="16"/>
        <v>1738</v>
      </c>
      <c r="U45" s="47">
        <f t="shared" si="16"/>
        <v>1738</v>
      </c>
      <c r="V45" s="47">
        <f t="shared" si="16"/>
        <v>1975</v>
      </c>
      <c r="W45" s="47">
        <f t="shared" si="16"/>
        <v>2212</v>
      </c>
      <c r="X45" s="47">
        <f t="shared" si="16"/>
        <v>2370</v>
      </c>
      <c r="Y45" s="47">
        <f t="shared" si="16"/>
        <v>2765</v>
      </c>
      <c r="Z45" s="47">
        <f t="shared" si="16"/>
        <v>3160</v>
      </c>
      <c r="AA45" s="47">
        <f t="shared" si="16"/>
        <v>3555</v>
      </c>
      <c r="AB45" s="47">
        <f t="shared" si="16"/>
        <v>3950</v>
      </c>
      <c r="AC45" s="47">
        <f t="shared" si="16"/>
        <v>3950</v>
      </c>
      <c r="AD45" s="47">
        <f t="shared" si="16"/>
        <v>4345</v>
      </c>
      <c r="AE45" s="47">
        <f t="shared" si="16"/>
        <v>4345</v>
      </c>
      <c r="AF45" s="47">
        <f t="shared" si="16"/>
        <v>4740</v>
      </c>
      <c r="AG45" s="47">
        <f t="shared" si="16"/>
        <v>4740</v>
      </c>
      <c r="AH45" s="47">
        <f t="shared" si="16"/>
        <v>5135</v>
      </c>
      <c r="AI45" s="47">
        <f t="shared" si="16"/>
        <v>5530</v>
      </c>
      <c r="AJ45" s="47">
        <f t="shared" si="16"/>
        <v>5530</v>
      </c>
      <c r="AK45" s="47">
        <f t="shared" si="16"/>
        <v>5925</v>
      </c>
      <c r="AL45" s="47">
        <f t="shared" si="16"/>
        <v>6320</v>
      </c>
      <c r="AM45" s="47">
        <f t="shared" si="16"/>
        <v>6715</v>
      </c>
      <c r="AN45" s="51">
        <f t="shared" si="3"/>
        <v>6414</v>
      </c>
      <c r="AO45" s="51">
        <f t="shared" si="4"/>
        <v>25596</v>
      </c>
      <c r="AP45" s="51">
        <f t="shared" si="8"/>
        <v>61225</v>
      </c>
    </row>
    <row r="46" spans="2:42" ht="15" customHeight="1">
      <c r="B46" s="49" t="s">
        <v>224</v>
      </c>
      <c r="D46" s="51">
        <f t="shared" ref="D46:AM46" si="17">D40+D45+D37+D36+D39+D41+D42</f>
        <v>670.5</v>
      </c>
      <c r="E46" s="51">
        <f t="shared" si="17"/>
        <v>670.5</v>
      </c>
      <c r="F46" s="51">
        <f t="shared" si="17"/>
        <v>789</v>
      </c>
      <c r="G46" s="51">
        <f t="shared" si="17"/>
        <v>733.5</v>
      </c>
      <c r="H46" s="51">
        <f t="shared" si="17"/>
        <v>733.5</v>
      </c>
      <c r="I46" s="51">
        <f t="shared" si="17"/>
        <v>798.5</v>
      </c>
      <c r="J46" s="51">
        <f t="shared" si="17"/>
        <v>798.5</v>
      </c>
      <c r="K46" s="51">
        <f t="shared" si="17"/>
        <v>936.95</v>
      </c>
      <c r="L46" s="51">
        <f t="shared" si="17"/>
        <v>1133.0999999999999</v>
      </c>
      <c r="M46" s="51">
        <f t="shared" si="17"/>
        <v>1279.25</v>
      </c>
      <c r="N46" s="51">
        <f t="shared" si="17"/>
        <v>1717.7</v>
      </c>
      <c r="O46" s="51">
        <f t="shared" si="17"/>
        <v>2010</v>
      </c>
      <c r="P46" s="51">
        <f t="shared" si="17"/>
        <v>2205.5</v>
      </c>
      <c r="Q46" s="51">
        <f t="shared" si="17"/>
        <v>2205.5</v>
      </c>
      <c r="R46" s="51">
        <f t="shared" si="17"/>
        <v>2324</v>
      </c>
      <c r="S46" s="51">
        <f t="shared" si="17"/>
        <v>2324</v>
      </c>
      <c r="T46" s="51">
        <f t="shared" si="17"/>
        <v>2482</v>
      </c>
      <c r="U46" s="51">
        <f t="shared" si="17"/>
        <v>2612</v>
      </c>
      <c r="V46" s="51">
        <f t="shared" si="17"/>
        <v>2849</v>
      </c>
      <c r="W46" s="51">
        <f t="shared" si="17"/>
        <v>3086</v>
      </c>
      <c r="X46" s="51">
        <f t="shared" si="17"/>
        <v>3244</v>
      </c>
      <c r="Y46" s="51">
        <f t="shared" si="17"/>
        <v>3709</v>
      </c>
      <c r="Z46" s="51">
        <f t="shared" si="17"/>
        <v>4104</v>
      </c>
      <c r="AA46" s="51">
        <f t="shared" si="17"/>
        <v>4499</v>
      </c>
      <c r="AB46" s="51">
        <f t="shared" si="17"/>
        <v>5247</v>
      </c>
      <c r="AC46" s="51">
        <f t="shared" si="17"/>
        <v>5247</v>
      </c>
      <c r="AD46" s="51">
        <f t="shared" si="17"/>
        <v>5642</v>
      </c>
      <c r="AE46" s="51">
        <f t="shared" si="17"/>
        <v>5642</v>
      </c>
      <c r="AF46" s="51">
        <f t="shared" si="17"/>
        <v>6037</v>
      </c>
      <c r="AG46" s="51">
        <f t="shared" si="17"/>
        <v>6037</v>
      </c>
      <c r="AH46" s="51">
        <f t="shared" si="17"/>
        <v>6432</v>
      </c>
      <c r="AI46" s="51">
        <f t="shared" si="17"/>
        <v>6827</v>
      </c>
      <c r="AJ46" s="51">
        <f t="shared" si="17"/>
        <v>6827</v>
      </c>
      <c r="AK46" s="51">
        <f t="shared" si="17"/>
        <v>7222</v>
      </c>
      <c r="AL46" s="51">
        <f t="shared" si="17"/>
        <v>7617</v>
      </c>
      <c r="AM46" s="51">
        <f t="shared" si="17"/>
        <v>8012</v>
      </c>
      <c r="AN46" s="51">
        <f t="shared" si="3"/>
        <v>12271</v>
      </c>
      <c r="AO46" s="51">
        <f t="shared" si="4"/>
        <v>35644</v>
      </c>
      <c r="AP46" s="51">
        <f t="shared" si="8"/>
        <v>76789</v>
      </c>
    </row>
    <row r="47" spans="2:42" ht="15" customHeight="1">
      <c r="B47" s="49" t="s">
        <v>225</v>
      </c>
      <c r="D47" s="51">
        <f t="shared" ref="D47:AM47" si="18">D38+D43+D44</f>
        <v>2400</v>
      </c>
      <c r="E47" s="51">
        <f t="shared" si="18"/>
        <v>1450</v>
      </c>
      <c r="F47" s="51">
        <f t="shared" si="18"/>
        <v>200</v>
      </c>
      <c r="G47" s="51">
        <f t="shared" si="18"/>
        <v>600</v>
      </c>
      <c r="H47" s="51">
        <f t="shared" si="18"/>
        <v>200</v>
      </c>
      <c r="I47" s="51">
        <f t="shared" si="18"/>
        <v>320</v>
      </c>
      <c r="J47" s="51">
        <f t="shared" si="18"/>
        <v>720</v>
      </c>
      <c r="K47" s="51">
        <f t="shared" si="18"/>
        <v>320</v>
      </c>
      <c r="L47" s="51">
        <f t="shared" si="18"/>
        <v>420</v>
      </c>
      <c r="M47" s="51">
        <f t="shared" si="18"/>
        <v>420</v>
      </c>
      <c r="N47" s="51">
        <f t="shared" si="18"/>
        <v>420</v>
      </c>
      <c r="O47" s="51">
        <f t="shared" si="18"/>
        <v>420</v>
      </c>
      <c r="P47" s="51">
        <f t="shared" si="18"/>
        <v>420</v>
      </c>
      <c r="Q47" s="51">
        <f t="shared" si="18"/>
        <v>420</v>
      </c>
      <c r="R47" s="51">
        <f t="shared" si="18"/>
        <v>420</v>
      </c>
      <c r="S47" s="51">
        <f t="shared" si="18"/>
        <v>820</v>
      </c>
      <c r="T47" s="51">
        <f t="shared" si="18"/>
        <v>420</v>
      </c>
      <c r="U47" s="51">
        <f t="shared" si="18"/>
        <v>420</v>
      </c>
      <c r="V47" s="51">
        <f t="shared" si="18"/>
        <v>820</v>
      </c>
      <c r="W47" s="51">
        <f t="shared" si="18"/>
        <v>420</v>
      </c>
      <c r="X47" s="51">
        <f t="shared" si="18"/>
        <v>420</v>
      </c>
      <c r="Y47" s="51">
        <f t="shared" si="18"/>
        <v>420</v>
      </c>
      <c r="Z47" s="51">
        <f t="shared" si="18"/>
        <v>420</v>
      </c>
      <c r="AA47" s="51">
        <f t="shared" si="18"/>
        <v>420</v>
      </c>
      <c r="AB47" s="51">
        <f t="shared" si="18"/>
        <v>420</v>
      </c>
      <c r="AC47" s="51">
        <f t="shared" si="18"/>
        <v>420</v>
      </c>
      <c r="AD47" s="51">
        <f t="shared" si="18"/>
        <v>420</v>
      </c>
      <c r="AE47" s="51">
        <f t="shared" si="18"/>
        <v>820</v>
      </c>
      <c r="AF47" s="51">
        <f t="shared" si="18"/>
        <v>420</v>
      </c>
      <c r="AG47" s="51">
        <f t="shared" si="18"/>
        <v>420</v>
      </c>
      <c r="AH47" s="51">
        <f t="shared" si="18"/>
        <v>820</v>
      </c>
      <c r="AI47" s="51">
        <f t="shared" si="18"/>
        <v>420</v>
      </c>
      <c r="AJ47" s="51">
        <f t="shared" si="18"/>
        <v>420</v>
      </c>
      <c r="AK47" s="51">
        <f t="shared" si="18"/>
        <v>420</v>
      </c>
      <c r="AL47" s="51">
        <f t="shared" si="18"/>
        <v>420</v>
      </c>
      <c r="AM47" s="51">
        <f t="shared" si="18"/>
        <v>420</v>
      </c>
      <c r="AN47" s="51">
        <f t="shared" si="3"/>
        <v>7890</v>
      </c>
      <c r="AO47" s="51">
        <f t="shared" si="4"/>
        <v>5840</v>
      </c>
      <c r="AP47" s="51">
        <f t="shared" si="8"/>
        <v>5840</v>
      </c>
    </row>
    <row r="48" spans="2:42" ht="15" customHeight="1">
      <c r="B48" s="55" t="s">
        <v>226</v>
      </c>
      <c r="D48" s="62">
        <f t="shared" ref="D48:AM48" si="19">D34+D46+D47</f>
        <v>7870.5</v>
      </c>
      <c r="E48" s="62">
        <f t="shared" si="19"/>
        <v>6920.5</v>
      </c>
      <c r="F48" s="62">
        <f t="shared" si="19"/>
        <v>5789</v>
      </c>
      <c r="G48" s="62">
        <f t="shared" si="19"/>
        <v>6133.5</v>
      </c>
      <c r="H48" s="62">
        <f t="shared" si="19"/>
        <v>5733.5</v>
      </c>
      <c r="I48" s="62">
        <f t="shared" si="19"/>
        <v>5918.5</v>
      </c>
      <c r="J48" s="62">
        <f t="shared" si="19"/>
        <v>6318.5</v>
      </c>
      <c r="K48" s="62">
        <f t="shared" si="19"/>
        <v>6056.95</v>
      </c>
      <c r="L48" s="62">
        <f t="shared" si="19"/>
        <v>6353.1</v>
      </c>
      <c r="M48" s="62">
        <f t="shared" si="19"/>
        <v>6499.25</v>
      </c>
      <c r="N48" s="62">
        <f t="shared" si="19"/>
        <v>6937.7</v>
      </c>
      <c r="O48" s="62">
        <f t="shared" si="19"/>
        <v>7230</v>
      </c>
      <c r="P48" s="62">
        <f t="shared" si="19"/>
        <v>14825.5</v>
      </c>
      <c r="Q48" s="62">
        <f t="shared" si="19"/>
        <v>14825.5</v>
      </c>
      <c r="R48" s="62">
        <f t="shared" si="19"/>
        <v>14944</v>
      </c>
      <c r="S48" s="62">
        <f t="shared" si="19"/>
        <v>15344</v>
      </c>
      <c r="T48" s="62">
        <f t="shared" si="19"/>
        <v>15102</v>
      </c>
      <c r="U48" s="62">
        <f t="shared" si="19"/>
        <v>15232</v>
      </c>
      <c r="V48" s="62">
        <f t="shared" si="19"/>
        <v>15869</v>
      </c>
      <c r="W48" s="62">
        <f t="shared" si="19"/>
        <v>15706</v>
      </c>
      <c r="X48" s="62">
        <f t="shared" si="19"/>
        <v>15864</v>
      </c>
      <c r="Y48" s="62">
        <f t="shared" si="19"/>
        <v>16329</v>
      </c>
      <c r="Z48" s="62">
        <f t="shared" si="19"/>
        <v>16724</v>
      </c>
      <c r="AA48" s="62">
        <f t="shared" si="19"/>
        <v>17119</v>
      </c>
      <c r="AB48" s="62">
        <f t="shared" si="19"/>
        <v>23167</v>
      </c>
      <c r="AC48" s="62">
        <f t="shared" si="19"/>
        <v>23167</v>
      </c>
      <c r="AD48" s="62">
        <f t="shared" si="19"/>
        <v>23562</v>
      </c>
      <c r="AE48" s="62">
        <f t="shared" si="19"/>
        <v>23962</v>
      </c>
      <c r="AF48" s="62">
        <f t="shared" si="19"/>
        <v>23957</v>
      </c>
      <c r="AG48" s="62">
        <f t="shared" si="19"/>
        <v>23957</v>
      </c>
      <c r="AH48" s="62">
        <f t="shared" si="19"/>
        <v>24752</v>
      </c>
      <c r="AI48" s="62">
        <f t="shared" si="19"/>
        <v>24747</v>
      </c>
      <c r="AJ48" s="62">
        <f t="shared" si="19"/>
        <v>24747</v>
      </c>
      <c r="AK48" s="62">
        <f t="shared" si="19"/>
        <v>25142</v>
      </c>
      <c r="AL48" s="62">
        <f t="shared" si="19"/>
        <v>25537</v>
      </c>
      <c r="AM48" s="62">
        <f t="shared" si="19"/>
        <v>25932</v>
      </c>
      <c r="AN48" s="51">
        <f t="shared" si="3"/>
        <v>77761</v>
      </c>
      <c r="AO48" s="51">
        <f t="shared" si="4"/>
        <v>187884</v>
      </c>
      <c r="AP48" s="51">
        <f t="shared" si="8"/>
        <v>292629</v>
      </c>
    </row>
    <row r="51" spans="3:3" ht="15" customHeight="1">
      <c r="C51" s="47"/>
    </row>
    <row r="52" spans="3:3" ht="15" customHeight="1">
      <c r="C52" s="47"/>
    </row>
  </sheetData>
  <mergeCells count="5">
    <mergeCell ref="B1:AP1"/>
    <mergeCell ref="B4:AP4"/>
    <mergeCell ref="B8:AP8"/>
    <mergeCell ref="B29:AP29"/>
    <mergeCell ref="B33:AP3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B1:AP26"/>
  <sheetViews>
    <sheetView showGridLines="0" zoomScaleNormal="100" workbookViewId="0">
      <pane xSplit="3" ySplit="3" topLeftCell="AC4" activePane="bottomRight" state="frozen"/>
      <selection pane="topRight" activeCell="D1" sqref="D1"/>
      <selection pane="bottomLeft" activeCell="A4" sqref="A4"/>
      <selection pane="bottomRight" activeCell="AN20" sqref="AN20"/>
    </sheetView>
  </sheetViews>
  <sheetFormatPr baseColWidth="10" defaultColWidth="8.6640625" defaultRowHeight="15"/>
  <cols>
    <col min="1" max="1" width="3" customWidth="1"/>
    <col min="2" max="2" width="32" customWidth="1"/>
    <col min="3" max="39" width="10" customWidth="1"/>
    <col min="40" max="42" width="14" customWidth="1"/>
  </cols>
  <sheetData>
    <row r="1" spans="2:42" ht="24.75" customHeight="1">
      <c r="B1" s="13" t="s">
        <v>227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 spans="2:42" ht="15" customHeight="1">
      <c r="B2" s="34" t="s">
        <v>187</v>
      </c>
      <c r="C2" s="34" t="s">
        <v>228</v>
      </c>
      <c r="D2" s="34" t="s">
        <v>32</v>
      </c>
      <c r="E2" s="34" t="s">
        <v>32</v>
      </c>
      <c r="F2" s="34" t="s">
        <v>32</v>
      </c>
      <c r="G2" s="34" t="s">
        <v>32</v>
      </c>
      <c r="H2" s="34" t="s">
        <v>32</v>
      </c>
      <c r="I2" s="34" t="s">
        <v>32</v>
      </c>
      <c r="J2" s="34" t="s">
        <v>32</v>
      </c>
      <c r="K2" s="34" t="s">
        <v>32</v>
      </c>
      <c r="L2" s="34" t="s">
        <v>32</v>
      </c>
      <c r="M2" s="34" t="s">
        <v>32</v>
      </c>
      <c r="N2" s="34" t="s">
        <v>32</v>
      </c>
      <c r="O2" s="34" t="s">
        <v>32</v>
      </c>
      <c r="P2" s="34" t="s">
        <v>33</v>
      </c>
      <c r="Q2" s="34" t="s">
        <v>33</v>
      </c>
      <c r="R2" s="34" t="s">
        <v>33</v>
      </c>
      <c r="S2" s="34" t="s">
        <v>33</v>
      </c>
      <c r="T2" s="34" t="s">
        <v>33</v>
      </c>
      <c r="U2" s="34" t="s">
        <v>33</v>
      </c>
      <c r="V2" s="34" t="s">
        <v>33</v>
      </c>
      <c r="W2" s="34" t="s">
        <v>33</v>
      </c>
      <c r="X2" s="34" t="s">
        <v>33</v>
      </c>
      <c r="Y2" s="34" t="s">
        <v>33</v>
      </c>
      <c r="Z2" s="34" t="s">
        <v>33</v>
      </c>
      <c r="AA2" s="34" t="s">
        <v>33</v>
      </c>
      <c r="AB2" s="34" t="s">
        <v>34</v>
      </c>
      <c r="AC2" s="34" t="s">
        <v>34</v>
      </c>
      <c r="AD2" s="34" t="s">
        <v>34</v>
      </c>
      <c r="AE2" s="34" t="s">
        <v>34</v>
      </c>
      <c r="AF2" s="34" t="s">
        <v>34</v>
      </c>
      <c r="AG2" s="34" t="s">
        <v>34</v>
      </c>
      <c r="AH2" s="34" t="s">
        <v>34</v>
      </c>
      <c r="AI2" s="34" t="s">
        <v>34</v>
      </c>
      <c r="AJ2" s="34" t="s">
        <v>34</v>
      </c>
      <c r="AK2" s="34" t="s">
        <v>34</v>
      </c>
      <c r="AL2" s="34" t="s">
        <v>34</v>
      </c>
      <c r="AM2" s="34" t="s">
        <v>34</v>
      </c>
      <c r="AN2" s="35" t="s">
        <v>99</v>
      </c>
      <c r="AO2" s="35" t="s">
        <v>100</v>
      </c>
      <c r="AP2" s="35" t="s">
        <v>101</v>
      </c>
    </row>
    <row r="3" spans="2:42" ht="15" customHeight="1">
      <c r="B3" s="36" t="s">
        <v>229</v>
      </c>
      <c r="C3" s="36" t="s">
        <v>228</v>
      </c>
      <c r="D3" s="37" t="s">
        <v>104</v>
      </c>
      <c r="E3" s="37" t="s">
        <v>105</v>
      </c>
      <c r="F3" s="37" t="s">
        <v>106</v>
      </c>
      <c r="G3" s="37" t="s">
        <v>107</v>
      </c>
      <c r="H3" s="37" t="s">
        <v>108</v>
      </c>
      <c r="I3" s="37" t="s">
        <v>109</v>
      </c>
      <c r="J3" s="37" t="s">
        <v>110</v>
      </c>
      <c r="K3" s="37" t="s">
        <v>111</v>
      </c>
      <c r="L3" s="37" t="s">
        <v>112</v>
      </c>
      <c r="M3" s="37" t="s">
        <v>113</v>
      </c>
      <c r="N3" s="37" t="s">
        <v>114</v>
      </c>
      <c r="O3" s="37" t="s">
        <v>115</v>
      </c>
      <c r="P3" s="37" t="s">
        <v>116</v>
      </c>
      <c r="Q3" s="37" t="s">
        <v>117</v>
      </c>
      <c r="R3" s="37" t="s">
        <v>118</v>
      </c>
      <c r="S3" s="37" t="s">
        <v>119</v>
      </c>
      <c r="T3" s="37" t="s">
        <v>120</v>
      </c>
      <c r="U3" s="37" t="s">
        <v>121</v>
      </c>
      <c r="V3" s="37" t="s">
        <v>122</v>
      </c>
      <c r="W3" s="37" t="s">
        <v>123</v>
      </c>
      <c r="X3" s="37" t="s">
        <v>124</v>
      </c>
      <c r="Y3" s="37" t="s">
        <v>125</v>
      </c>
      <c r="Z3" s="37" t="s">
        <v>126</v>
      </c>
      <c r="AA3" s="37" t="s">
        <v>127</v>
      </c>
      <c r="AB3" s="37" t="s">
        <v>128</v>
      </c>
      <c r="AC3" s="37" t="s">
        <v>129</v>
      </c>
      <c r="AD3" s="37" t="s">
        <v>130</v>
      </c>
      <c r="AE3" s="37" t="s">
        <v>131</v>
      </c>
      <c r="AF3" s="37" t="s">
        <v>132</v>
      </c>
      <c r="AG3" s="37" t="s">
        <v>133</v>
      </c>
      <c r="AH3" s="37" t="s">
        <v>134</v>
      </c>
      <c r="AI3" s="37" t="s">
        <v>135</v>
      </c>
      <c r="AJ3" s="37" t="s">
        <v>136</v>
      </c>
      <c r="AK3" s="37" t="s">
        <v>137</v>
      </c>
      <c r="AL3" s="37" t="s">
        <v>138</v>
      </c>
      <c r="AM3" s="37" t="s">
        <v>139</v>
      </c>
      <c r="AN3" s="36" t="s">
        <v>99</v>
      </c>
      <c r="AO3" s="36" t="s">
        <v>100</v>
      </c>
      <c r="AP3" s="36" t="s">
        <v>101</v>
      </c>
    </row>
    <row r="4" spans="2:42" ht="15" customHeight="1">
      <c r="B4" s="38" t="s">
        <v>230</v>
      </c>
      <c r="D4" s="63">
        <f>'MODELO NORMAL'!D39</f>
        <v>282.15200000000004</v>
      </c>
      <c r="E4" s="63">
        <f>'MODELO NORMAL'!E39</f>
        <v>423.22800000000001</v>
      </c>
      <c r="F4" s="63">
        <f>'MODELO NORMAL'!F39</f>
        <v>564.30400000000009</v>
      </c>
      <c r="G4" s="63">
        <f>'MODELO NORMAL'!G39</f>
        <v>705.38</v>
      </c>
      <c r="H4" s="63">
        <f>'MODELO NORMAL'!H39</f>
        <v>846.45600000000002</v>
      </c>
      <c r="I4" s="63">
        <f>'MODELO NORMAL'!I39</f>
        <v>987.53200000000004</v>
      </c>
      <c r="J4" s="63">
        <f>'MODELO NORMAL'!J39</f>
        <v>1128.6080000000002</v>
      </c>
      <c r="K4" s="63">
        <f>'MODELO NORMAL'!K39</f>
        <v>1464.91</v>
      </c>
      <c r="L4" s="63">
        <f>'MODELO NORMAL'!L39</f>
        <v>1760.5620000000001</v>
      </c>
      <c r="M4" s="63">
        <f>'MODELO NORMAL'!M39</f>
        <v>2197.2900000000004</v>
      </c>
      <c r="N4" s="63">
        <f>'MODELO NORMAL'!N39</f>
        <v>2777.7939999999999</v>
      </c>
      <c r="O4" s="63">
        <f>'MODELO NORMAL'!O39</f>
        <v>3497.7240000000002</v>
      </c>
      <c r="P4" s="63">
        <f>'MODELO NORMAL'!P39</f>
        <v>3937.752</v>
      </c>
      <c r="Q4" s="63">
        <f>'MODELO NORMAL'!Q39</f>
        <v>4380.3300000000008</v>
      </c>
      <c r="R4" s="63">
        <f>'MODELO NORMAL'!R39</f>
        <v>4966.8340000000007</v>
      </c>
      <c r="S4" s="63">
        <f>'MODELO NORMAL'!S39</f>
        <v>5706.2640000000001</v>
      </c>
      <c r="T4" s="63">
        <f>'MODELO NORMAL'!T39</f>
        <v>6452.4439999999995</v>
      </c>
      <c r="U4" s="63">
        <f>'MODELO NORMAL'!U39</f>
        <v>7335.65</v>
      </c>
      <c r="V4" s="63">
        <f>'MODELO NORMAL'!V39</f>
        <v>8506.5580000000009</v>
      </c>
      <c r="W4" s="63">
        <f>'MODELO NORMAL'!W39</f>
        <v>9956.1680000000015</v>
      </c>
      <c r="X4" s="63">
        <f>'MODELO NORMAL'!X39</f>
        <v>11551.504000000001</v>
      </c>
      <c r="Y4" s="63">
        <f>'MODELO NORMAL'!Y39</f>
        <v>13567.217999999999</v>
      </c>
      <c r="Z4" s="63">
        <f>'MODELO NORMAL'!Z39</f>
        <v>15869.134</v>
      </c>
      <c r="AA4" s="63">
        <f>'MODELO NORMAL'!AA39</f>
        <v>18739.853999999999</v>
      </c>
      <c r="AB4" s="63">
        <f>'MODELO NORMAL'!AB39</f>
        <v>20204.763999999999</v>
      </c>
      <c r="AC4" s="63">
        <f>'MODELO NORMAL'!AC39</f>
        <v>21957.226000000002</v>
      </c>
      <c r="AD4" s="63">
        <f>'MODELO NORMAL'!AD39</f>
        <v>23843.563999999998</v>
      </c>
      <c r="AE4" s="63">
        <f>'MODELO NORMAL'!AE39</f>
        <v>25875.178</v>
      </c>
      <c r="AF4" s="63">
        <f>'MODELO NORMAL'!AF39</f>
        <v>27629.14</v>
      </c>
      <c r="AG4" s="63">
        <f>'MODELO NORMAL'!AG39</f>
        <v>29388.052000000003</v>
      </c>
      <c r="AH4" s="63">
        <f>'MODELO NORMAL'!AH39</f>
        <v>31284.44</v>
      </c>
      <c r="AI4" s="63">
        <f>'MODELO NORMAL'!AI39</f>
        <v>33326.254000000001</v>
      </c>
      <c r="AJ4" s="63">
        <f>'MODELO NORMAL'!AJ39</f>
        <v>35513.793999999994</v>
      </c>
      <c r="AK4" s="63">
        <f>'MODELO NORMAL'!AK39</f>
        <v>37706.283999999992</v>
      </c>
      <c r="AL4" s="63">
        <f>'MODELO NORMAL'!AL39</f>
        <v>39469.246000000006</v>
      </c>
      <c r="AM4" s="63">
        <f>'MODELO NORMAL'!AM39</f>
        <v>41377.484000000004</v>
      </c>
      <c r="AN4" s="51">
        <f>SUM(D4:O4)</f>
        <v>16635.940000000002</v>
      </c>
      <c r="AO4" s="51">
        <f>SUM(P4:AA4)</f>
        <v>110969.70999999999</v>
      </c>
      <c r="AP4" s="51">
        <f>SUM(AB4:AM4)</f>
        <v>367575.42599999998</v>
      </c>
    </row>
    <row r="5" spans="2:42" ht="15" customHeight="1">
      <c r="B5" s="45" t="s">
        <v>231</v>
      </c>
      <c r="D5" s="64">
        <f>'MODELO NORMAL'!D40</f>
        <v>-5.6430400000000009</v>
      </c>
      <c r="E5" s="64">
        <f>'MODELO NORMAL'!E40</f>
        <v>-8.4645600000000005</v>
      </c>
      <c r="F5" s="64">
        <f>'MODELO NORMAL'!F40</f>
        <v>-11.286080000000002</v>
      </c>
      <c r="G5" s="64">
        <f>'MODELO NORMAL'!G40</f>
        <v>-14.1076</v>
      </c>
      <c r="H5" s="64">
        <f>'MODELO NORMAL'!H40</f>
        <v>-16.929120000000001</v>
      </c>
      <c r="I5" s="64">
        <f>'MODELO NORMAL'!I40</f>
        <v>-19.750640000000001</v>
      </c>
      <c r="J5" s="64">
        <f>'MODELO NORMAL'!J40</f>
        <v>-22.572160000000004</v>
      </c>
      <c r="K5" s="64">
        <f>'MODELO NORMAL'!K40</f>
        <v>-29.298200000000001</v>
      </c>
      <c r="L5" s="64">
        <f>'MODELO NORMAL'!L40</f>
        <v>-35.211240000000004</v>
      </c>
      <c r="M5" s="64">
        <f>'MODELO NORMAL'!M40</f>
        <v>-43.945800000000013</v>
      </c>
      <c r="N5" s="64">
        <f>'MODELO NORMAL'!N40</f>
        <v>-55.555880000000002</v>
      </c>
      <c r="O5" s="64">
        <f>'MODELO NORMAL'!O40</f>
        <v>-69.954480000000004</v>
      </c>
      <c r="P5" s="64">
        <f>'MODELO NORMAL'!P40</f>
        <v>-78.755039999999994</v>
      </c>
      <c r="Q5" s="64">
        <f>'MODELO NORMAL'!Q40</f>
        <v>-87.606600000000014</v>
      </c>
      <c r="R5" s="64">
        <f>'MODELO NORMAL'!R40</f>
        <v>-99.336680000000015</v>
      </c>
      <c r="S5" s="64">
        <f>'MODELO NORMAL'!S40</f>
        <v>-114.12528</v>
      </c>
      <c r="T5" s="64">
        <f>'MODELO NORMAL'!T40</f>
        <v>-129.04888</v>
      </c>
      <c r="U5" s="64">
        <f>'MODELO NORMAL'!U40</f>
        <v>-146.71299999999999</v>
      </c>
      <c r="V5" s="64">
        <f>'MODELO NORMAL'!V40</f>
        <v>-170.13116000000002</v>
      </c>
      <c r="W5" s="64">
        <f>'MODELO NORMAL'!W40</f>
        <v>-199.12336000000005</v>
      </c>
      <c r="X5" s="64">
        <f>'MODELO NORMAL'!X40</f>
        <v>-231.03008000000003</v>
      </c>
      <c r="Y5" s="64">
        <f>'MODELO NORMAL'!Y40</f>
        <v>-271.34435999999999</v>
      </c>
      <c r="Z5" s="64">
        <f>'MODELO NORMAL'!Z40</f>
        <v>-317.38267999999999</v>
      </c>
      <c r="AA5" s="64">
        <f>'MODELO NORMAL'!AA40</f>
        <v>-374.79707999999999</v>
      </c>
      <c r="AB5" s="64">
        <f>'MODELO NORMAL'!AB40</f>
        <v>-404.09528</v>
      </c>
      <c r="AC5" s="64">
        <f>'MODELO NORMAL'!AC40</f>
        <v>-439.14452000000006</v>
      </c>
      <c r="AD5" s="64">
        <f>'MODELO NORMAL'!AD40</f>
        <v>-476.87127999999996</v>
      </c>
      <c r="AE5" s="64">
        <f>'MODELO NORMAL'!AE40</f>
        <v>-517.50355999999999</v>
      </c>
      <c r="AF5" s="64">
        <f>'MODELO NORMAL'!AF40</f>
        <v>-552.58280000000002</v>
      </c>
      <c r="AG5" s="64">
        <f>'MODELO NORMAL'!AG40</f>
        <v>-587.76104000000009</v>
      </c>
      <c r="AH5" s="64">
        <f>'MODELO NORMAL'!AH40</f>
        <v>-625.68880000000001</v>
      </c>
      <c r="AI5" s="64">
        <f>'MODELO NORMAL'!AI40</f>
        <v>-666.52508</v>
      </c>
      <c r="AJ5" s="64">
        <f>'MODELO NORMAL'!AJ40</f>
        <v>-710.27587999999992</v>
      </c>
      <c r="AK5" s="64">
        <f>'MODELO NORMAL'!AK40</f>
        <v>-754.12567999999987</v>
      </c>
      <c r="AL5" s="64">
        <f>'MODELO NORMAL'!AL40</f>
        <v>-789.38492000000019</v>
      </c>
      <c r="AM5" s="64">
        <f>'MODELO NORMAL'!AM40</f>
        <v>-827.54968000000008</v>
      </c>
      <c r="AN5" s="51">
        <f>SUM(D5:O5)</f>
        <v>-332.71880000000004</v>
      </c>
      <c r="AO5" s="51">
        <f>SUM(P5:AA5)</f>
        <v>-2219.3942000000002</v>
      </c>
      <c r="AP5" s="51">
        <f>SUM(AB5:AM5)</f>
        <v>-7351.5085200000012</v>
      </c>
    </row>
    <row r="6" spans="2:42" ht="15" customHeight="1">
      <c r="B6" s="65" t="s">
        <v>184</v>
      </c>
      <c r="D6" s="51">
        <f>'MODELO NORMAL'!D41</f>
        <v>276.50896000000006</v>
      </c>
      <c r="E6" s="51">
        <f>'MODELO NORMAL'!E41</f>
        <v>414.76344</v>
      </c>
      <c r="F6" s="51">
        <f>'MODELO NORMAL'!F41</f>
        <v>553.01792000000012</v>
      </c>
      <c r="G6" s="51">
        <f>'MODELO NORMAL'!G41</f>
        <v>691.27239999999995</v>
      </c>
      <c r="H6" s="51">
        <f>'MODELO NORMAL'!H41</f>
        <v>829.52688000000001</v>
      </c>
      <c r="I6" s="51">
        <f>'MODELO NORMAL'!I41</f>
        <v>967.78136000000006</v>
      </c>
      <c r="J6" s="51">
        <f>'MODELO NORMAL'!J41</f>
        <v>1106.0358400000002</v>
      </c>
      <c r="K6" s="51">
        <f>'MODELO NORMAL'!K41</f>
        <v>1435.6118000000001</v>
      </c>
      <c r="L6" s="51">
        <f>'MODELO NORMAL'!L41</f>
        <v>1725.35076</v>
      </c>
      <c r="M6" s="51">
        <f>'MODELO NORMAL'!M41</f>
        <v>2153.3442000000005</v>
      </c>
      <c r="N6" s="51">
        <f>'MODELO NORMAL'!N41</f>
        <v>2722.23812</v>
      </c>
      <c r="O6" s="51">
        <f>'MODELO NORMAL'!O41</f>
        <v>3427.7695200000003</v>
      </c>
      <c r="P6" s="51">
        <f>'MODELO NORMAL'!P41</f>
        <v>3858.9969599999999</v>
      </c>
      <c r="Q6" s="51">
        <f>'MODELO NORMAL'!Q41</f>
        <v>4292.7234000000008</v>
      </c>
      <c r="R6" s="51">
        <f>'MODELO NORMAL'!R41</f>
        <v>4867.4973200000004</v>
      </c>
      <c r="S6" s="51">
        <f>'MODELO NORMAL'!S41</f>
        <v>5592.1387199999999</v>
      </c>
      <c r="T6" s="51">
        <f>'MODELO NORMAL'!T41</f>
        <v>6323.3951199999992</v>
      </c>
      <c r="U6" s="51">
        <f>'MODELO NORMAL'!U41</f>
        <v>7188.9369999999999</v>
      </c>
      <c r="V6" s="51">
        <f>'MODELO NORMAL'!V41</f>
        <v>8336.4268400000001</v>
      </c>
      <c r="W6" s="51">
        <f>'MODELO NORMAL'!W41</f>
        <v>9757.0446400000019</v>
      </c>
      <c r="X6" s="51">
        <f>'MODELO NORMAL'!X41</f>
        <v>11320.47392</v>
      </c>
      <c r="Y6" s="51">
        <f>'MODELO NORMAL'!Y41</f>
        <v>13295.87364</v>
      </c>
      <c r="Z6" s="51">
        <f>'MODELO NORMAL'!Z41</f>
        <v>15551.751319999999</v>
      </c>
      <c r="AA6" s="51">
        <f>'MODELO NORMAL'!AA41</f>
        <v>18365.056919999999</v>
      </c>
      <c r="AB6" s="51">
        <f>'MODELO NORMAL'!AB41</f>
        <v>19800.668719999998</v>
      </c>
      <c r="AC6" s="51">
        <f>'MODELO NORMAL'!AC41</f>
        <v>21518.081480000001</v>
      </c>
      <c r="AD6" s="51">
        <f>'MODELO NORMAL'!AD41</f>
        <v>23366.692719999999</v>
      </c>
      <c r="AE6" s="51">
        <f>'MODELO NORMAL'!AE41</f>
        <v>25357.674439999999</v>
      </c>
      <c r="AF6" s="51">
        <f>'MODELO NORMAL'!AF41</f>
        <v>27076.557199999999</v>
      </c>
      <c r="AG6" s="51">
        <f>'MODELO NORMAL'!AG41</f>
        <v>28800.290960000002</v>
      </c>
      <c r="AH6" s="51">
        <f>'MODELO NORMAL'!AH41</f>
        <v>30658.751199999999</v>
      </c>
      <c r="AI6" s="51">
        <f>'MODELO NORMAL'!AI41</f>
        <v>32659.728920000001</v>
      </c>
      <c r="AJ6" s="51">
        <f>'MODELO NORMAL'!AJ41</f>
        <v>34803.518119999993</v>
      </c>
      <c r="AK6" s="51">
        <f>'MODELO NORMAL'!AK41</f>
        <v>36952.158319999995</v>
      </c>
      <c r="AL6" s="51">
        <f>'MODELO NORMAL'!AL41</f>
        <v>38679.86108000001</v>
      </c>
      <c r="AM6" s="51">
        <f>'MODELO NORMAL'!AM41</f>
        <v>40549.93432</v>
      </c>
      <c r="AN6" s="51">
        <f>SUM(D6:O6)</f>
        <v>16303.2212</v>
      </c>
      <c r="AO6" s="51">
        <f>SUM(P6:AA6)</f>
        <v>108750.3158</v>
      </c>
      <c r="AP6" s="51">
        <f>SUM(AB6:AM6)</f>
        <v>360223.91748</v>
      </c>
    </row>
    <row r="7" spans="2:42" ht="15" customHeight="1">
      <c r="B7" s="45" t="s">
        <v>171</v>
      </c>
      <c r="D7" s="19" t="s">
        <v>185</v>
      </c>
      <c r="E7" s="53">
        <f t="shared" ref="E7:AM7" si="0">IF(D6&gt;0,(E6-D6)/D6,"N/A")</f>
        <v>0.49999999999999967</v>
      </c>
      <c r="F7" s="53">
        <f t="shared" si="0"/>
        <v>0.33333333333333359</v>
      </c>
      <c r="G7" s="53">
        <f t="shared" si="0"/>
        <v>0.24999999999999964</v>
      </c>
      <c r="H7" s="53">
        <f t="shared" si="0"/>
        <v>0.20000000000000009</v>
      </c>
      <c r="I7" s="53">
        <f t="shared" si="0"/>
        <v>0.16666666666666674</v>
      </c>
      <c r="J7" s="53">
        <f t="shared" si="0"/>
        <v>0.14285714285714302</v>
      </c>
      <c r="K7" s="53">
        <f t="shared" si="0"/>
        <v>0.29797945788085839</v>
      </c>
      <c r="L7" s="53">
        <f t="shared" si="0"/>
        <v>0.20182263756817817</v>
      </c>
      <c r="M7" s="53">
        <f t="shared" si="0"/>
        <v>0.24806169848037185</v>
      </c>
      <c r="N7" s="53">
        <f t="shared" si="0"/>
        <v>0.26419088968684123</v>
      </c>
      <c r="O7" s="53">
        <f t="shared" si="0"/>
        <v>0.25917328642800735</v>
      </c>
      <c r="P7" s="53">
        <f t="shared" si="0"/>
        <v>0.12580409431962031</v>
      </c>
      <c r="Q7" s="53">
        <f t="shared" si="0"/>
        <v>0.11239356871636427</v>
      </c>
      <c r="R7" s="53">
        <f t="shared" si="0"/>
        <v>0.13389493485650614</v>
      </c>
      <c r="S7" s="53">
        <f t="shared" si="0"/>
        <v>0.14887350775161792</v>
      </c>
      <c r="T7" s="53">
        <f t="shared" si="0"/>
        <v>0.13076506800246174</v>
      </c>
      <c r="U7" s="53">
        <f t="shared" si="0"/>
        <v>0.13687929720893366</v>
      </c>
      <c r="V7" s="53">
        <f t="shared" si="0"/>
        <v>0.15961884768220952</v>
      </c>
      <c r="W7" s="53">
        <f t="shared" si="0"/>
        <v>0.1704108759383057</v>
      </c>
      <c r="X7" s="53">
        <f t="shared" si="0"/>
        <v>0.16023594619938095</v>
      </c>
      <c r="Y7" s="53">
        <f t="shared" si="0"/>
        <v>0.1744979701344517</v>
      </c>
      <c r="Z7" s="53">
        <f t="shared" si="0"/>
        <v>0.1696675029471775</v>
      </c>
      <c r="AA7" s="53">
        <f t="shared" si="0"/>
        <v>0.1808996004444855</v>
      </c>
      <c r="AB7" s="53">
        <f t="shared" si="0"/>
        <v>7.817083313455904E-2</v>
      </c>
      <c r="AC7" s="53">
        <f t="shared" si="0"/>
        <v>8.6735088813707659E-2</v>
      </c>
      <c r="AD7" s="53">
        <f t="shared" si="0"/>
        <v>8.5909668188504248E-2</v>
      </c>
      <c r="AE7" s="53">
        <f t="shared" si="0"/>
        <v>8.5205970047095306E-2</v>
      </c>
      <c r="AF7" s="53">
        <f t="shared" si="0"/>
        <v>6.7785504702615018E-2</v>
      </c>
      <c r="AG7" s="53">
        <f t="shared" si="0"/>
        <v>6.3661482043958037E-2</v>
      </c>
      <c r="AH7" s="53">
        <f t="shared" si="0"/>
        <v>6.4529217520099547E-2</v>
      </c>
      <c r="AI7" s="53">
        <f t="shared" si="0"/>
        <v>6.5266119515004994E-2</v>
      </c>
      <c r="AJ7" s="53">
        <f t="shared" si="0"/>
        <v>6.5640140653071652E-2</v>
      </c>
      <c r="AK7" s="53">
        <f t="shared" si="0"/>
        <v>6.1736293227358421E-2</v>
      </c>
      <c r="AL7" s="53">
        <f t="shared" si="0"/>
        <v>4.6755124424353652E-2</v>
      </c>
      <c r="AM7" s="53">
        <f t="shared" si="0"/>
        <v>4.8347465264474268E-2</v>
      </c>
    </row>
    <row r="8" spans="2:42" ht="15" customHeight="1">
      <c r="B8" s="45" t="s">
        <v>232</v>
      </c>
      <c r="D8" s="64">
        <f>-'COGS &amp; SG&amp;A'!D32</f>
        <v>-11.691040000000001</v>
      </c>
      <c r="E8" s="64">
        <f>-'COGS &amp; SG&amp;A'!E32</f>
        <v>-18.544560000000001</v>
      </c>
      <c r="F8" s="64">
        <f>-'COGS &amp; SG&amp;A'!F32</f>
        <v>-24.390079999999998</v>
      </c>
      <c r="G8" s="64">
        <f>-'COGS &amp; SG&amp;A'!G32</f>
        <v>-33.864400000000003</v>
      </c>
      <c r="H8" s="64">
        <f>-'COGS &amp; SG&amp;A'!H32</f>
        <v>-46.564319999999995</v>
      </c>
      <c r="I8" s="64">
        <f>-'COGS &amp; SG&amp;A'!I32</f>
        <v>-61.280240000000006</v>
      </c>
      <c r="J8" s="64">
        <f>-'COGS &amp; SG&amp;A'!J32</f>
        <v>-78.616960000000006</v>
      </c>
      <c r="K8" s="64">
        <f>-'COGS &amp; SG&amp;A'!K32</f>
        <v>-102.07579999999999</v>
      </c>
      <c r="L8" s="64">
        <f>-'COGS &amp; SG&amp;A'!L32</f>
        <v>-126.13283999999999</v>
      </c>
      <c r="M8" s="64">
        <f>-'COGS &amp; SG&amp;A'!M32</f>
        <v>-153.01140000000001</v>
      </c>
      <c r="N8" s="64">
        <f>-'COGS &amp; SG&amp;A'!N32</f>
        <v>-186.39427999999998</v>
      </c>
      <c r="O8" s="64">
        <f>-'COGS &amp; SG&amp;A'!O32</f>
        <v>-220.34807999999998</v>
      </c>
      <c r="P8" s="64">
        <f>-'COGS &amp; SG&amp;A'!P32</f>
        <v>-251.72783999999996</v>
      </c>
      <c r="Q8" s="64">
        <f>-'COGS &amp; SG&amp;A'!Q32</f>
        <v>-286.58580000000001</v>
      </c>
      <c r="R8" s="64">
        <f>-'COGS &amp; SG&amp;A'!R32</f>
        <v>-328.15268000000003</v>
      </c>
      <c r="S8" s="64">
        <f>-'COGS &amp; SG&amp;A'!S32</f>
        <v>-388.70447999999999</v>
      </c>
      <c r="T8" s="64">
        <f>-'COGS &amp; SG&amp;A'!T32</f>
        <v>-458.46328000000005</v>
      </c>
      <c r="U8" s="64">
        <f>-'COGS &amp; SG&amp;A'!U32</f>
        <v>-525.51939999999991</v>
      </c>
      <c r="V8" s="64">
        <f>-'COGS &amp; SG&amp;A'!V32</f>
        <v>-605.78876000000002</v>
      </c>
      <c r="W8" s="64">
        <f>-'COGS &amp; SG&amp;A'!W32</f>
        <v>-686.99536000000012</v>
      </c>
      <c r="X8" s="64">
        <f>-'COGS &amp; SG&amp;A'!X32</f>
        <v>-777.3660799999999</v>
      </c>
      <c r="Y8" s="64">
        <f>-'COGS &amp; SG&amp;A'!Y32</f>
        <v>-872.31395999999995</v>
      </c>
      <c r="Z8" s="64">
        <f>-'COGS &amp; SG&amp;A'!Z32</f>
        <v>-978.42907999999989</v>
      </c>
      <c r="AA8" s="64">
        <f>-'COGS &amp; SG&amp;A'!AA32</f>
        <v>-1101.9682799999998</v>
      </c>
      <c r="AB8" s="64">
        <f>-'COGS &amp; SG&amp;A'!AB32</f>
        <v>-1204.0440800000001</v>
      </c>
      <c r="AC8" s="64">
        <f>-'COGS &amp; SG&amp;A'!AC32</f>
        <v>-1319.1285200000002</v>
      </c>
      <c r="AD8" s="64">
        <f>-'COGS &amp; SG&amp;A'!AD32</f>
        <v>-1427.2136799999998</v>
      </c>
      <c r="AE8" s="64">
        <f>-'COGS &amp; SG&amp;A'!AE32</f>
        <v>-1543.8491599999998</v>
      </c>
      <c r="AF8" s="64">
        <f>-'COGS &amp; SG&amp;A'!AF32</f>
        <v>-1660.9796000000001</v>
      </c>
      <c r="AG8" s="64">
        <f>-'COGS &amp; SG&amp;A'!AG32</f>
        <v>-1784.8618399999998</v>
      </c>
      <c r="AH8" s="64">
        <f>-'COGS &amp; SG&amp;A'!AH32</f>
        <v>-1906.6551999999997</v>
      </c>
      <c r="AI8" s="64">
        <f>-'COGS &amp; SG&amp;A'!AI32</f>
        <v>-2037.2034800000001</v>
      </c>
      <c r="AJ8" s="64">
        <f>-'COGS &amp; SG&amp;A'!AJ32</f>
        <v>-2176.9158799999996</v>
      </c>
      <c r="AK8" s="64">
        <f>-'COGS &amp; SG&amp;A'!AK32</f>
        <v>-2323.3800799999999</v>
      </c>
      <c r="AL8" s="64">
        <f>-'COGS &amp; SG&amp;A'!AL32</f>
        <v>-2452.7865199999997</v>
      </c>
      <c r="AM8" s="64">
        <f>-'COGS &amp; SG&amp;A'!AM32</f>
        <v>-2590.7432799999997</v>
      </c>
      <c r="AN8" s="51">
        <f>SUM(D8:O8)</f>
        <v>-1062.9139999999998</v>
      </c>
      <c r="AO8" s="51">
        <f>SUM(P8:AA8)</f>
        <v>-7262.0150000000003</v>
      </c>
      <c r="AP8" s="51">
        <f>SUM(AB8:AM8)</f>
        <v>-22427.761319999994</v>
      </c>
    </row>
    <row r="9" spans="2:42" ht="15" customHeight="1">
      <c r="B9" s="65" t="s">
        <v>233</v>
      </c>
      <c r="D9" s="51">
        <f t="shared" ref="D9:AM9" si="1">D6+D8</f>
        <v>264.81792000000007</v>
      </c>
      <c r="E9" s="51">
        <f t="shared" si="1"/>
        <v>396.21888000000001</v>
      </c>
      <c r="F9" s="51">
        <f t="shared" si="1"/>
        <v>528.62784000000011</v>
      </c>
      <c r="G9" s="51">
        <f t="shared" si="1"/>
        <v>657.4079999999999</v>
      </c>
      <c r="H9" s="51">
        <f t="shared" si="1"/>
        <v>782.96256000000005</v>
      </c>
      <c r="I9" s="51">
        <f t="shared" si="1"/>
        <v>906.50112000000001</v>
      </c>
      <c r="J9" s="51">
        <f t="shared" si="1"/>
        <v>1027.4188800000002</v>
      </c>
      <c r="K9" s="51">
        <f t="shared" si="1"/>
        <v>1333.5360000000001</v>
      </c>
      <c r="L9" s="51">
        <f t="shared" si="1"/>
        <v>1599.21792</v>
      </c>
      <c r="M9" s="51">
        <f t="shared" si="1"/>
        <v>2000.3328000000004</v>
      </c>
      <c r="N9" s="51">
        <f t="shared" si="1"/>
        <v>2535.84384</v>
      </c>
      <c r="O9" s="51">
        <f t="shared" si="1"/>
        <v>3207.4214400000001</v>
      </c>
      <c r="P9" s="51">
        <f t="shared" si="1"/>
        <v>3607.2691199999999</v>
      </c>
      <c r="Q9" s="51">
        <f t="shared" si="1"/>
        <v>4006.1376000000009</v>
      </c>
      <c r="R9" s="51">
        <f t="shared" si="1"/>
        <v>4539.3446400000003</v>
      </c>
      <c r="S9" s="51">
        <f t="shared" si="1"/>
        <v>5203.4342399999996</v>
      </c>
      <c r="T9" s="51">
        <f t="shared" si="1"/>
        <v>5864.9318399999993</v>
      </c>
      <c r="U9" s="51">
        <f t="shared" si="1"/>
        <v>6663.4175999999998</v>
      </c>
      <c r="V9" s="51">
        <f t="shared" si="1"/>
        <v>7730.6380799999997</v>
      </c>
      <c r="W9" s="51">
        <f t="shared" si="1"/>
        <v>9070.0492800000011</v>
      </c>
      <c r="X9" s="51">
        <f t="shared" si="1"/>
        <v>10543.107840000001</v>
      </c>
      <c r="Y9" s="51">
        <f t="shared" si="1"/>
        <v>12423.55968</v>
      </c>
      <c r="Z9" s="51">
        <f t="shared" si="1"/>
        <v>14573.32224</v>
      </c>
      <c r="AA9" s="51">
        <f t="shared" si="1"/>
        <v>17263.088639999998</v>
      </c>
      <c r="AB9" s="51">
        <f t="shared" si="1"/>
        <v>18596.624639999998</v>
      </c>
      <c r="AC9" s="51">
        <f t="shared" si="1"/>
        <v>20198.952960000002</v>
      </c>
      <c r="AD9" s="51">
        <f t="shared" si="1"/>
        <v>21939.479039999998</v>
      </c>
      <c r="AE9" s="51">
        <f t="shared" si="1"/>
        <v>23813.825279999997</v>
      </c>
      <c r="AF9" s="51">
        <f t="shared" si="1"/>
        <v>25415.577600000001</v>
      </c>
      <c r="AG9" s="51">
        <f t="shared" si="1"/>
        <v>27015.429120000001</v>
      </c>
      <c r="AH9" s="51">
        <f t="shared" si="1"/>
        <v>28752.095999999998</v>
      </c>
      <c r="AI9" s="51">
        <f t="shared" si="1"/>
        <v>30622.525440000001</v>
      </c>
      <c r="AJ9" s="51">
        <f t="shared" si="1"/>
        <v>32626.602239999993</v>
      </c>
      <c r="AK9" s="51">
        <f t="shared" si="1"/>
        <v>34628.778239999992</v>
      </c>
      <c r="AL9" s="51">
        <f t="shared" si="1"/>
        <v>36227.074560000008</v>
      </c>
      <c r="AM9" s="51">
        <f t="shared" si="1"/>
        <v>37959.191039999998</v>
      </c>
      <c r="AN9" s="51">
        <f>SUM(D9:O9)</f>
        <v>15240.307200000001</v>
      </c>
      <c r="AO9" s="51">
        <f>SUM(P9:AA9)</f>
        <v>101488.3008</v>
      </c>
      <c r="AP9" s="51">
        <f>SUM(AB9:AM9)</f>
        <v>337796.15616000007</v>
      </c>
    </row>
    <row r="10" spans="2:42" ht="15" customHeight="1">
      <c r="B10" s="45" t="s">
        <v>234</v>
      </c>
      <c r="D10" s="53">
        <f t="shared" ref="D10:AM10" si="2">IF(D6&gt;0,D9/D6,0)</f>
        <v>0.95771912779969237</v>
      </c>
      <c r="E10" s="53">
        <f t="shared" si="2"/>
        <v>0.95528882680691429</v>
      </c>
      <c r="F10" s="53">
        <f t="shared" si="2"/>
        <v>0.95589640205510884</v>
      </c>
      <c r="G10" s="53">
        <f t="shared" si="2"/>
        <v>0.95101149705962507</v>
      </c>
      <c r="H10" s="53">
        <f t="shared" si="2"/>
        <v>0.94386641214085798</v>
      </c>
      <c r="I10" s="53">
        <f t="shared" si="2"/>
        <v>0.93667966491935739</v>
      </c>
      <c r="J10" s="53">
        <f t="shared" si="2"/>
        <v>0.92892006103527347</v>
      </c>
      <c r="K10" s="53">
        <f t="shared" si="2"/>
        <v>0.92889735233438453</v>
      </c>
      <c r="L10" s="53">
        <f t="shared" si="2"/>
        <v>0.92689437827702936</v>
      </c>
      <c r="M10" s="53">
        <f t="shared" si="2"/>
        <v>0.9289424328911281</v>
      </c>
      <c r="N10" s="53">
        <f t="shared" si="2"/>
        <v>0.93152903170718948</v>
      </c>
      <c r="O10" s="53">
        <f t="shared" si="2"/>
        <v>0.9357167747964571</v>
      </c>
      <c r="P10" s="53">
        <f t="shared" si="2"/>
        <v>0.93476858297395493</v>
      </c>
      <c r="Q10" s="53">
        <f t="shared" si="2"/>
        <v>0.93323916467573942</v>
      </c>
      <c r="R10" s="53">
        <f t="shared" si="2"/>
        <v>0.9325828740261124</v>
      </c>
      <c r="S10" s="53">
        <f t="shared" si="2"/>
        <v>0.93049090885213226</v>
      </c>
      <c r="T10" s="53">
        <f t="shared" si="2"/>
        <v>0.92749729041129414</v>
      </c>
      <c r="U10" s="53">
        <f t="shared" si="2"/>
        <v>0.92689887253150216</v>
      </c>
      <c r="V10" s="53">
        <f t="shared" si="2"/>
        <v>0.92733232455261372</v>
      </c>
      <c r="W10" s="53">
        <f t="shared" si="2"/>
        <v>0.92958981071137126</v>
      </c>
      <c r="X10" s="53">
        <f t="shared" si="2"/>
        <v>0.93133095968476909</v>
      </c>
      <c r="Y10" s="53">
        <f t="shared" si="2"/>
        <v>0.93439212919595716</v>
      </c>
      <c r="Z10" s="53">
        <f t="shared" si="2"/>
        <v>0.93708560149481612</v>
      </c>
      <c r="AA10" s="53">
        <f t="shared" si="2"/>
        <v>0.93999646803163839</v>
      </c>
      <c r="AB10" s="53">
        <f t="shared" si="2"/>
        <v>0.9391917466512717</v>
      </c>
      <c r="AC10" s="53">
        <f t="shared" si="2"/>
        <v>0.9386967410999878</v>
      </c>
      <c r="AD10" s="53">
        <f t="shared" si="2"/>
        <v>0.93892102330859939</v>
      </c>
      <c r="AE10" s="53">
        <f t="shared" si="2"/>
        <v>0.93911708411380634</v>
      </c>
      <c r="AF10" s="53">
        <f t="shared" si="2"/>
        <v>0.93865617450064887</v>
      </c>
      <c r="AG10" s="53">
        <f t="shared" si="2"/>
        <v>0.93802625666251249</v>
      </c>
      <c r="AH10" s="53">
        <f t="shared" si="2"/>
        <v>0.93781040892494016</v>
      </c>
      <c r="AI10" s="53">
        <f t="shared" si="2"/>
        <v>0.9376233806168407</v>
      </c>
      <c r="AJ10" s="53">
        <f t="shared" si="2"/>
        <v>0.93745126936609824</v>
      </c>
      <c r="AK10" s="53">
        <f t="shared" si="2"/>
        <v>0.93712464479395519</v>
      </c>
      <c r="AL10" s="53">
        <f t="shared" si="2"/>
        <v>0.93658750441406702</v>
      </c>
      <c r="AM10" s="53">
        <f t="shared" si="2"/>
        <v>0.93610980329696369</v>
      </c>
    </row>
    <row r="11" spans="2:42" ht="15" customHeight="1">
      <c r="B11" s="45" t="s">
        <v>235</v>
      </c>
      <c r="D11" s="64">
        <f>-'COGS &amp; SG&amp;A'!D46</f>
        <v>-670.5</v>
      </c>
      <c r="E11" s="64">
        <f>-'COGS &amp; SG&amp;A'!E46</f>
        <v>-670.5</v>
      </c>
      <c r="F11" s="64">
        <f>-'COGS &amp; SG&amp;A'!F46</f>
        <v>-789</v>
      </c>
      <c r="G11" s="64">
        <f>-'COGS &amp; SG&amp;A'!G46</f>
        <v>-733.5</v>
      </c>
      <c r="H11" s="64">
        <f>-'COGS &amp; SG&amp;A'!H46</f>
        <v>-733.5</v>
      </c>
      <c r="I11" s="64">
        <f>-'COGS &amp; SG&amp;A'!I46</f>
        <v>-798.5</v>
      </c>
      <c r="J11" s="64">
        <f>-'COGS &amp; SG&amp;A'!J46</f>
        <v>-798.5</v>
      </c>
      <c r="K11" s="64">
        <f>-'COGS &amp; SG&amp;A'!K46</f>
        <v>-936.95</v>
      </c>
      <c r="L11" s="64">
        <f>-'COGS &amp; SG&amp;A'!L46</f>
        <v>-1133.0999999999999</v>
      </c>
      <c r="M11" s="64">
        <f>-'COGS &amp; SG&amp;A'!M46</f>
        <v>-1279.25</v>
      </c>
      <c r="N11" s="64">
        <f>-'COGS &amp; SG&amp;A'!N46</f>
        <v>-1717.7</v>
      </c>
      <c r="O11" s="64">
        <f>-'COGS &amp; SG&amp;A'!O46</f>
        <v>-2010</v>
      </c>
      <c r="P11" s="64">
        <f>-'COGS &amp; SG&amp;A'!P46</f>
        <v>-2205.5</v>
      </c>
      <c r="Q11" s="64">
        <f>-'COGS &amp; SG&amp;A'!Q46</f>
        <v>-2205.5</v>
      </c>
      <c r="R11" s="64">
        <f>-'COGS &amp; SG&amp;A'!R46</f>
        <v>-2324</v>
      </c>
      <c r="S11" s="64">
        <f>-'COGS &amp; SG&amp;A'!S46</f>
        <v>-2324</v>
      </c>
      <c r="T11" s="64">
        <f>-'COGS &amp; SG&amp;A'!T46</f>
        <v>-2482</v>
      </c>
      <c r="U11" s="64">
        <f>-'COGS &amp; SG&amp;A'!U46</f>
        <v>-2612</v>
      </c>
      <c r="V11" s="64">
        <f>-'COGS &amp; SG&amp;A'!V46</f>
        <v>-2849</v>
      </c>
      <c r="W11" s="64">
        <f>-'COGS &amp; SG&amp;A'!W46</f>
        <v>-3086</v>
      </c>
      <c r="X11" s="64">
        <f>-'COGS &amp; SG&amp;A'!X46</f>
        <v>-3244</v>
      </c>
      <c r="Y11" s="64">
        <f>-'COGS &amp; SG&amp;A'!Y46</f>
        <v>-3709</v>
      </c>
      <c r="Z11" s="64">
        <f>-'COGS &amp; SG&amp;A'!Z46</f>
        <v>-4104</v>
      </c>
      <c r="AA11" s="64">
        <f>-'COGS &amp; SG&amp;A'!AA46</f>
        <v>-4499</v>
      </c>
      <c r="AB11" s="64">
        <f>-'COGS &amp; SG&amp;A'!AB46</f>
        <v>-5247</v>
      </c>
      <c r="AC11" s="64">
        <f>-'COGS &amp; SG&amp;A'!AC46</f>
        <v>-5247</v>
      </c>
      <c r="AD11" s="64">
        <f>-'COGS &amp; SG&amp;A'!AD46</f>
        <v>-5642</v>
      </c>
      <c r="AE11" s="64">
        <f>-'COGS &amp; SG&amp;A'!AE46</f>
        <v>-5642</v>
      </c>
      <c r="AF11" s="64">
        <f>-'COGS &amp; SG&amp;A'!AF46</f>
        <v>-6037</v>
      </c>
      <c r="AG11" s="64">
        <f>-'COGS &amp; SG&amp;A'!AG46</f>
        <v>-6037</v>
      </c>
      <c r="AH11" s="64">
        <f>-'COGS &amp; SG&amp;A'!AH46</f>
        <v>-6432</v>
      </c>
      <c r="AI11" s="64">
        <f>-'COGS &amp; SG&amp;A'!AI46</f>
        <v>-6827</v>
      </c>
      <c r="AJ11" s="64">
        <f>-'COGS &amp; SG&amp;A'!AJ46</f>
        <v>-6827</v>
      </c>
      <c r="AK11" s="64">
        <f>-'COGS &amp; SG&amp;A'!AK46</f>
        <v>-7222</v>
      </c>
      <c r="AL11" s="64">
        <f>-'COGS &amp; SG&amp;A'!AL46</f>
        <v>-7617</v>
      </c>
      <c r="AM11" s="64">
        <f>-'COGS &amp; SG&amp;A'!AM46</f>
        <v>-8012</v>
      </c>
      <c r="AN11" s="51">
        <f>SUM(D11:O11)</f>
        <v>-12271</v>
      </c>
      <c r="AO11" s="51">
        <f>SUM(P11:AA11)</f>
        <v>-35644</v>
      </c>
      <c r="AP11" s="51">
        <f>SUM(AB11:AM11)</f>
        <v>-76789</v>
      </c>
    </row>
    <row r="12" spans="2:42" ht="15" customHeight="1">
      <c r="B12" s="45" t="s">
        <v>236</v>
      </c>
      <c r="D12" s="64">
        <f>-'COGS &amp; SG&amp;A'!D47</f>
        <v>-2400</v>
      </c>
      <c r="E12" s="64">
        <f>-'COGS &amp; SG&amp;A'!E47</f>
        <v>-1450</v>
      </c>
      <c r="F12" s="64">
        <f>-'COGS &amp; SG&amp;A'!F47</f>
        <v>-200</v>
      </c>
      <c r="G12" s="64">
        <f>-'COGS &amp; SG&amp;A'!G47</f>
        <v>-600</v>
      </c>
      <c r="H12" s="64">
        <f>-'COGS &amp; SG&amp;A'!H47</f>
        <v>-200</v>
      </c>
      <c r="I12" s="64">
        <f>-'COGS &amp; SG&amp;A'!I47</f>
        <v>-320</v>
      </c>
      <c r="J12" s="64">
        <f>-'COGS &amp; SG&amp;A'!J47</f>
        <v>-720</v>
      </c>
      <c r="K12" s="64">
        <f>-'COGS &amp; SG&amp;A'!K47</f>
        <v>-320</v>
      </c>
      <c r="L12" s="64">
        <f>-'COGS &amp; SG&amp;A'!L47</f>
        <v>-420</v>
      </c>
      <c r="M12" s="64">
        <f>-'COGS &amp; SG&amp;A'!M47</f>
        <v>-420</v>
      </c>
      <c r="N12" s="64">
        <f>-'COGS &amp; SG&amp;A'!N47</f>
        <v>-420</v>
      </c>
      <c r="O12" s="64">
        <f>-'COGS &amp; SG&amp;A'!O47</f>
        <v>-420</v>
      </c>
      <c r="P12" s="64">
        <f>-'COGS &amp; SG&amp;A'!P47</f>
        <v>-420</v>
      </c>
      <c r="Q12" s="64">
        <f>-'COGS &amp; SG&amp;A'!Q47</f>
        <v>-420</v>
      </c>
      <c r="R12" s="64">
        <f>-'COGS &amp; SG&amp;A'!R47</f>
        <v>-420</v>
      </c>
      <c r="S12" s="64">
        <f>-'COGS &amp; SG&amp;A'!S47</f>
        <v>-820</v>
      </c>
      <c r="T12" s="64">
        <f>-'COGS &amp; SG&amp;A'!T47</f>
        <v>-420</v>
      </c>
      <c r="U12" s="64">
        <f>-'COGS &amp; SG&amp;A'!U47</f>
        <v>-420</v>
      </c>
      <c r="V12" s="64">
        <f>-'COGS &amp; SG&amp;A'!V47</f>
        <v>-820</v>
      </c>
      <c r="W12" s="64">
        <f>-'COGS &amp; SG&amp;A'!W47</f>
        <v>-420</v>
      </c>
      <c r="X12" s="64">
        <f>-'COGS &amp; SG&amp;A'!X47</f>
        <v>-420</v>
      </c>
      <c r="Y12" s="64">
        <f>-'COGS &amp; SG&amp;A'!Y47</f>
        <v>-420</v>
      </c>
      <c r="Z12" s="64">
        <f>-'COGS &amp; SG&amp;A'!Z47</f>
        <v>-420</v>
      </c>
      <c r="AA12" s="64">
        <f>-'COGS &amp; SG&amp;A'!AA47</f>
        <v>-420</v>
      </c>
      <c r="AB12" s="64">
        <f>-'COGS &amp; SG&amp;A'!AB47</f>
        <v>-420</v>
      </c>
      <c r="AC12" s="64">
        <f>-'COGS &amp; SG&amp;A'!AC47</f>
        <v>-420</v>
      </c>
      <c r="AD12" s="64">
        <f>-'COGS &amp; SG&amp;A'!AD47</f>
        <v>-420</v>
      </c>
      <c r="AE12" s="64">
        <f>-'COGS &amp; SG&amp;A'!AE47</f>
        <v>-820</v>
      </c>
      <c r="AF12" s="64">
        <f>-'COGS &amp; SG&amp;A'!AF47</f>
        <v>-420</v>
      </c>
      <c r="AG12" s="64">
        <f>-'COGS &amp; SG&amp;A'!AG47</f>
        <v>-420</v>
      </c>
      <c r="AH12" s="64">
        <f>-'COGS &amp; SG&amp;A'!AH47</f>
        <v>-820</v>
      </c>
      <c r="AI12" s="64">
        <f>-'COGS &amp; SG&amp;A'!AI47</f>
        <v>-420</v>
      </c>
      <c r="AJ12" s="64">
        <f>-'COGS &amp; SG&amp;A'!AJ47</f>
        <v>-420</v>
      </c>
      <c r="AK12" s="64">
        <f>-'COGS &amp; SG&amp;A'!AK47</f>
        <v>-420</v>
      </c>
      <c r="AL12" s="64">
        <f>-'COGS &amp; SG&amp;A'!AL47</f>
        <v>-420</v>
      </c>
      <c r="AM12" s="64">
        <f>-'COGS &amp; SG&amp;A'!AM47</f>
        <v>-420</v>
      </c>
      <c r="AN12" s="51">
        <f>SUM(D12:O12)</f>
        <v>-7890</v>
      </c>
      <c r="AO12" s="51">
        <f>SUM(P12:AA12)</f>
        <v>-5840</v>
      </c>
      <c r="AP12" s="51">
        <f>SUM(AB12:AM12)</f>
        <v>-5840</v>
      </c>
    </row>
    <row r="13" spans="2:42" ht="15" customHeight="1">
      <c r="B13" s="45" t="s">
        <v>237</v>
      </c>
      <c r="D13" s="64">
        <f>-'COGS &amp; SG&amp;A'!D35</f>
        <v>0</v>
      </c>
      <c r="E13" s="64">
        <f>-'COGS &amp; SG&amp;A'!E35</f>
        <v>0</v>
      </c>
      <c r="F13" s="64">
        <f>-'COGS &amp; SG&amp;A'!F35</f>
        <v>-400</v>
      </c>
      <c r="G13" s="64">
        <f>-'COGS &amp; SG&amp;A'!G35</f>
        <v>0</v>
      </c>
      <c r="H13" s="64">
        <f>-'COGS &amp; SG&amp;A'!H35</f>
        <v>0</v>
      </c>
      <c r="I13" s="64">
        <f>-'COGS &amp; SG&amp;A'!I35</f>
        <v>0</v>
      </c>
      <c r="J13" s="64">
        <f>-'COGS &amp; SG&amp;A'!J35</f>
        <v>0</v>
      </c>
      <c r="K13" s="64">
        <f>-'COGS &amp; SG&amp;A'!K35</f>
        <v>0</v>
      </c>
      <c r="L13" s="64">
        <f>-'COGS &amp; SG&amp;A'!L35</f>
        <v>0</v>
      </c>
      <c r="M13" s="64">
        <f>-'COGS &amp; SG&amp;A'!M35</f>
        <v>0</v>
      </c>
      <c r="N13" s="64">
        <f>-'COGS &amp; SG&amp;A'!N35</f>
        <v>0</v>
      </c>
      <c r="O13" s="64">
        <f>-'COGS &amp; SG&amp;A'!O35</f>
        <v>0</v>
      </c>
      <c r="P13" s="64">
        <f>-'COGS &amp; SG&amp;A'!P35</f>
        <v>0</v>
      </c>
      <c r="Q13" s="64">
        <f>-'COGS &amp; SG&amp;A'!Q35</f>
        <v>0</v>
      </c>
      <c r="R13" s="64">
        <f>-'COGS &amp; SG&amp;A'!R35</f>
        <v>-400</v>
      </c>
      <c r="S13" s="64">
        <f>-'COGS &amp; SG&amp;A'!S35</f>
        <v>0</v>
      </c>
      <c r="T13" s="64">
        <f>-'COGS &amp; SG&amp;A'!T35</f>
        <v>0</v>
      </c>
      <c r="U13" s="64">
        <f>-'COGS &amp; SG&amp;A'!U35</f>
        <v>0</v>
      </c>
      <c r="V13" s="64">
        <f>-'COGS &amp; SG&amp;A'!V35</f>
        <v>0</v>
      </c>
      <c r="W13" s="64">
        <f>-'COGS &amp; SG&amp;A'!W35</f>
        <v>0</v>
      </c>
      <c r="X13" s="64">
        <f>-'COGS &amp; SG&amp;A'!X35</f>
        <v>0</v>
      </c>
      <c r="Y13" s="64">
        <f>-'COGS &amp; SG&amp;A'!Y35</f>
        <v>0</v>
      </c>
      <c r="Z13" s="64">
        <f>-'COGS &amp; SG&amp;A'!Z35</f>
        <v>0</v>
      </c>
      <c r="AA13" s="64">
        <f>-'COGS &amp; SG&amp;A'!AA35</f>
        <v>0</v>
      </c>
      <c r="AB13" s="64">
        <f>-'COGS &amp; SG&amp;A'!AB35</f>
        <v>0</v>
      </c>
      <c r="AC13" s="64">
        <f>-'COGS &amp; SG&amp;A'!AC35</f>
        <v>0</v>
      </c>
      <c r="AD13" s="64">
        <f>-'COGS &amp; SG&amp;A'!AD35</f>
        <v>-400</v>
      </c>
      <c r="AE13" s="64">
        <f>-'COGS &amp; SG&amp;A'!AE35</f>
        <v>0</v>
      </c>
      <c r="AF13" s="64">
        <f>-'COGS &amp; SG&amp;A'!AF35</f>
        <v>0</v>
      </c>
      <c r="AG13" s="64">
        <f>-'COGS &amp; SG&amp;A'!AG35</f>
        <v>0</v>
      </c>
      <c r="AH13" s="64">
        <f>-'COGS &amp; SG&amp;A'!AH35</f>
        <v>0</v>
      </c>
      <c r="AI13" s="64">
        <f>-'COGS &amp; SG&amp;A'!AI35</f>
        <v>0</v>
      </c>
      <c r="AJ13" s="64">
        <f>-'COGS &amp; SG&amp;A'!AJ35</f>
        <v>0</v>
      </c>
      <c r="AK13" s="64">
        <f>-'COGS &amp; SG&amp;A'!AK35</f>
        <v>0</v>
      </c>
      <c r="AL13" s="64">
        <f>-'COGS &amp; SG&amp;A'!AL35</f>
        <v>0</v>
      </c>
      <c r="AM13" s="64">
        <f>-'COGS &amp; SG&amp;A'!AM35</f>
        <v>0</v>
      </c>
      <c r="AN13" s="51"/>
      <c r="AO13" s="51"/>
      <c r="AP13" s="51"/>
    </row>
    <row r="14" spans="2:42" ht="15" customHeight="1">
      <c r="B14" s="45" t="s">
        <v>238</v>
      </c>
      <c r="D14" s="64">
        <f>-'COGS &amp; SG&amp;A'!D34</f>
        <v>-4800</v>
      </c>
      <c r="E14" s="64">
        <f>-'COGS &amp; SG&amp;A'!E34</f>
        <v>-4800</v>
      </c>
      <c r="F14" s="64">
        <f>-'COGS &amp; SG&amp;A'!F34</f>
        <v>-4800</v>
      </c>
      <c r="G14" s="64">
        <f>-'COGS &amp; SG&amp;A'!G34</f>
        <v>-4800</v>
      </c>
      <c r="H14" s="64">
        <f>-'COGS &amp; SG&amp;A'!H34</f>
        <v>-4800</v>
      </c>
      <c r="I14" s="64">
        <f>-'COGS &amp; SG&amp;A'!I34</f>
        <v>-4800</v>
      </c>
      <c r="J14" s="64">
        <f>-'COGS &amp; SG&amp;A'!J34</f>
        <v>-4800</v>
      </c>
      <c r="K14" s="64">
        <f>-'COGS &amp; SG&amp;A'!K34</f>
        <v>-4800</v>
      </c>
      <c r="L14" s="64">
        <f>-'COGS &amp; SG&amp;A'!L34</f>
        <v>-4800</v>
      </c>
      <c r="M14" s="64">
        <f>-'COGS &amp; SG&amp;A'!M34</f>
        <v>-4800</v>
      </c>
      <c r="N14" s="64">
        <f>-'COGS &amp; SG&amp;A'!N34</f>
        <v>-4800</v>
      </c>
      <c r="O14" s="64">
        <f>-'COGS &amp; SG&amp;A'!O34</f>
        <v>-4800</v>
      </c>
      <c r="P14" s="64">
        <f>-'COGS &amp; SG&amp;A'!P34</f>
        <v>-12200</v>
      </c>
      <c r="Q14" s="64">
        <f>-'COGS &amp; SG&amp;A'!Q34</f>
        <v>-12200</v>
      </c>
      <c r="R14" s="64">
        <f>-'COGS &amp; SG&amp;A'!R34</f>
        <v>-12200</v>
      </c>
      <c r="S14" s="64">
        <f>-'COGS &amp; SG&amp;A'!S34</f>
        <v>-12200</v>
      </c>
      <c r="T14" s="64">
        <f>-'COGS &amp; SG&amp;A'!T34</f>
        <v>-12200</v>
      </c>
      <c r="U14" s="64">
        <f>-'COGS &amp; SG&amp;A'!U34</f>
        <v>-12200</v>
      </c>
      <c r="V14" s="64">
        <f>-'COGS &amp; SG&amp;A'!V34</f>
        <v>-12200</v>
      </c>
      <c r="W14" s="64">
        <f>-'COGS &amp; SG&amp;A'!W34</f>
        <v>-12200</v>
      </c>
      <c r="X14" s="64">
        <f>-'COGS &amp; SG&amp;A'!X34</f>
        <v>-12200</v>
      </c>
      <c r="Y14" s="64">
        <f>-'COGS &amp; SG&amp;A'!Y34</f>
        <v>-12200</v>
      </c>
      <c r="Z14" s="64">
        <f>-'COGS &amp; SG&amp;A'!Z34</f>
        <v>-12200</v>
      </c>
      <c r="AA14" s="64">
        <f>-'COGS &amp; SG&amp;A'!AA34</f>
        <v>-12200</v>
      </c>
      <c r="AB14" s="64">
        <f>-'COGS &amp; SG&amp;A'!AB34</f>
        <v>-17500</v>
      </c>
      <c r="AC14" s="64">
        <f>-'COGS &amp; SG&amp;A'!AC34</f>
        <v>-17500</v>
      </c>
      <c r="AD14" s="64">
        <f>-'COGS &amp; SG&amp;A'!AD34</f>
        <v>-17500</v>
      </c>
      <c r="AE14" s="64">
        <f>-'COGS &amp; SG&amp;A'!AE34</f>
        <v>-17500</v>
      </c>
      <c r="AF14" s="64">
        <f>-'COGS &amp; SG&amp;A'!AF34</f>
        <v>-17500</v>
      </c>
      <c r="AG14" s="64">
        <f>-'COGS &amp; SG&amp;A'!AG34</f>
        <v>-17500</v>
      </c>
      <c r="AH14" s="64">
        <f>-'COGS &amp; SG&amp;A'!AH34</f>
        <v>-17500</v>
      </c>
      <c r="AI14" s="64">
        <f>-'COGS &amp; SG&amp;A'!AI34</f>
        <v>-17500</v>
      </c>
      <c r="AJ14" s="64">
        <f>-'COGS &amp; SG&amp;A'!AJ34</f>
        <v>-17500</v>
      </c>
      <c r="AK14" s="64">
        <f>-'COGS &amp; SG&amp;A'!AK34</f>
        <v>-17500</v>
      </c>
      <c r="AL14" s="64">
        <f>-'COGS &amp; SG&amp;A'!AL34</f>
        <v>-17500</v>
      </c>
      <c r="AM14" s="64">
        <f>-'COGS &amp; SG&amp;A'!AM34</f>
        <v>-17500</v>
      </c>
      <c r="AN14" s="51">
        <f>SUM(D14:O14)</f>
        <v>-57600</v>
      </c>
      <c r="AO14" s="51">
        <f>SUM(P14:AA14)</f>
        <v>-146400</v>
      </c>
      <c r="AP14" s="51">
        <f>SUM(AB14:AM14)</f>
        <v>-210000</v>
      </c>
    </row>
    <row r="15" spans="2:42" ht="15" customHeight="1">
      <c r="B15" s="66" t="s">
        <v>239</v>
      </c>
      <c r="D15" s="51">
        <f t="shared" ref="D15:AM15" si="3">D11+D12+D14</f>
        <v>-7870.5</v>
      </c>
      <c r="E15" s="51">
        <f t="shared" si="3"/>
        <v>-6920.5</v>
      </c>
      <c r="F15" s="51">
        <f t="shared" si="3"/>
        <v>-5789</v>
      </c>
      <c r="G15" s="51">
        <f t="shared" si="3"/>
        <v>-6133.5</v>
      </c>
      <c r="H15" s="51">
        <f t="shared" si="3"/>
        <v>-5733.5</v>
      </c>
      <c r="I15" s="51">
        <f t="shared" si="3"/>
        <v>-5918.5</v>
      </c>
      <c r="J15" s="51">
        <f t="shared" si="3"/>
        <v>-6318.5</v>
      </c>
      <c r="K15" s="51">
        <f t="shared" si="3"/>
        <v>-6056.95</v>
      </c>
      <c r="L15" s="51">
        <f t="shared" si="3"/>
        <v>-6353.1</v>
      </c>
      <c r="M15" s="51">
        <f t="shared" si="3"/>
        <v>-6499.25</v>
      </c>
      <c r="N15" s="51">
        <f t="shared" si="3"/>
        <v>-6937.7</v>
      </c>
      <c r="O15" s="51">
        <f t="shared" si="3"/>
        <v>-7230</v>
      </c>
      <c r="P15" s="51">
        <f t="shared" si="3"/>
        <v>-14825.5</v>
      </c>
      <c r="Q15" s="51">
        <f t="shared" si="3"/>
        <v>-14825.5</v>
      </c>
      <c r="R15" s="51">
        <f t="shared" si="3"/>
        <v>-14944</v>
      </c>
      <c r="S15" s="51">
        <f t="shared" si="3"/>
        <v>-15344</v>
      </c>
      <c r="T15" s="51">
        <f t="shared" si="3"/>
        <v>-15102</v>
      </c>
      <c r="U15" s="51">
        <f t="shared" si="3"/>
        <v>-15232</v>
      </c>
      <c r="V15" s="51">
        <f t="shared" si="3"/>
        <v>-15869</v>
      </c>
      <c r="W15" s="51">
        <f t="shared" si="3"/>
        <v>-15706</v>
      </c>
      <c r="X15" s="51">
        <f t="shared" si="3"/>
        <v>-15864</v>
      </c>
      <c r="Y15" s="51">
        <f t="shared" si="3"/>
        <v>-16329</v>
      </c>
      <c r="Z15" s="51">
        <f t="shared" si="3"/>
        <v>-16724</v>
      </c>
      <c r="AA15" s="51">
        <f t="shared" si="3"/>
        <v>-17119</v>
      </c>
      <c r="AB15" s="51">
        <f t="shared" si="3"/>
        <v>-23167</v>
      </c>
      <c r="AC15" s="51">
        <f t="shared" si="3"/>
        <v>-23167</v>
      </c>
      <c r="AD15" s="51">
        <f t="shared" si="3"/>
        <v>-23562</v>
      </c>
      <c r="AE15" s="51">
        <f t="shared" si="3"/>
        <v>-23962</v>
      </c>
      <c r="AF15" s="51">
        <f t="shared" si="3"/>
        <v>-23957</v>
      </c>
      <c r="AG15" s="51">
        <f t="shared" si="3"/>
        <v>-23957</v>
      </c>
      <c r="AH15" s="51">
        <f t="shared" si="3"/>
        <v>-24752</v>
      </c>
      <c r="AI15" s="51">
        <f t="shared" si="3"/>
        <v>-24747</v>
      </c>
      <c r="AJ15" s="51">
        <f t="shared" si="3"/>
        <v>-24747</v>
      </c>
      <c r="AK15" s="51">
        <f t="shared" si="3"/>
        <v>-25142</v>
      </c>
      <c r="AL15" s="51">
        <f t="shared" si="3"/>
        <v>-25537</v>
      </c>
      <c r="AM15" s="51">
        <f t="shared" si="3"/>
        <v>-25932</v>
      </c>
      <c r="AN15" s="51">
        <f>SUM(D15:O15)</f>
        <v>-77761</v>
      </c>
      <c r="AO15" s="51">
        <f>SUM(P15:AA15)</f>
        <v>-187884</v>
      </c>
      <c r="AP15" s="51">
        <f>SUM(AB15:AM15)</f>
        <v>-292629</v>
      </c>
    </row>
    <row r="16" spans="2:42" ht="15" customHeight="1">
      <c r="B16" s="66" t="s">
        <v>240</v>
      </c>
      <c r="D16" s="51">
        <f>D15*'MODELO NORMAL'!$C$4</f>
        <v>-7870.5</v>
      </c>
      <c r="E16" s="51">
        <f>E15*'MODELO NORMAL'!$C$4</f>
        <v>-6920.5</v>
      </c>
      <c r="F16" s="51">
        <f>F15*'MODELO NORMAL'!$C$4</f>
        <v>-5789</v>
      </c>
      <c r="G16" s="51">
        <f>G15*'MODELO NORMAL'!$C$4</f>
        <v>-6133.5</v>
      </c>
      <c r="H16" s="51">
        <f>H15*'MODELO NORMAL'!$C$4</f>
        <v>-5733.5</v>
      </c>
      <c r="I16" s="51">
        <f>I15*'MODELO NORMAL'!$C$4</f>
        <v>-5918.5</v>
      </c>
      <c r="J16" s="51">
        <f>J15*'MODELO NORMAL'!$C$4</f>
        <v>-6318.5</v>
      </c>
      <c r="K16" s="51">
        <f>K15*'MODELO NORMAL'!$C$4</f>
        <v>-6056.95</v>
      </c>
      <c r="L16" s="51">
        <f>L15*'MODELO NORMAL'!$C$4</f>
        <v>-6353.1</v>
      </c>
      <c r="M16" s="51">
        <f>M15*'MODELO NORMAL'!$C$4</f>
        <v>-6499.25</v>
      </c>
      <c r="N16" s="51">
        <f>N15*'MODELO NORMAL'!$C$4</f>
        <v>-6937.7</v>
      </c>
      <c r="O16" s="51">
        <f>O15*'MODELO NORMAL'!$C$4</f>
        <v>-7230</v>
      </c>
      <c r="P16" s="51">
        <f>P15*'MODELO NORMAL'!$C$4</f>
        <v>-14825.5</v>
      </c>
      <c r="Q16" s="51">
        <f>Q15*'MODELO NORMAL'!$C$4</f>
        <v>-14825.5</v>
      </c>
      <c r="R16" s="51">
        <f>R15*'MODELO NORMAL'!$C$4</f>
        <v>-14944</v>
      </c>
      <c r="S16" s="51">
        <f>S15*'MODELO NORMAL'!$C$4</f>
        <v>-15344</v>
      </c>
      <c r="T16" s="51">
        <f>T15*'MODELO NORMAL'!$C$4</f>
        <v>-15102</v>
      </c>
      <c r="U16" s="51">
        <f>U15*'MODELO NORMAL'!$C$4</f>
        <v>-15232</v>
      </c>
      <c r="V16" s="51">
        <f>V15*'MODELO NORMAL'!$C$4</f>
        <v>-15869</v>
      </c>
      <c r="W16" s="51">
        <f>W15*'MODELO NORMAL'!$C$4</f>
        <v>-15706</v>
      </c>
      <c r="X16" s="51">
        <f>X15*'MODELO NORMAL'!$C$4</f>
        <v>-15864</v>
      </c>
      <c r="Y16" s="51">
        <f>Y15*'MODELO NORMAL'!$C$4</f>
        <v>-16329</v>
      </c>
      <c r="Z16" s="51">
        <f>Z15*'MODELO NORMAL'!$C$4</f>
        <v>-16724</v>
      </c>
      <c r="AA16" s="51">
        <f>AA15*'MODELO NORMAL'!$C$4</f>
        <v>-17119</v>
      </c>
      <c r="AB16" s="51">
        <f>AB15*'MODELO NORMAL'!$C$4</f>
        <v>-23167</v>
      </c>
      <c r="AC16" s="51">
        <f>AC15*'MODELO NORMAL'!$C$4</f>
        <v>-23167</v>
      </c>
      <c r="AD16" s="51">
        <f>AD15*'MODELO NORMAL'!$C$4</f>
        <v>-23562</v>
      </c>
      <c r="AE16" s="51">
        <f>AE15*'MODELO NORMAL'!$C$4</f>
        <v>-23962</v>
      </c>
      <c r="AF16" s="51">
        <f>AF15*'MODELO NORMAL'!$C$4</f>
        <v>-23957</v>
      </c>
      <c r="AG16" s="51">
        <f>AG15*'MODELO NORMAL'!$C$4</f>
        <v>-23957</v>
      </c>
      <c r="AH16" s="51">
        <f>AH15*'MODELO NORMAL'!$C$4</f>
        <v>-24752</v>
      </c>
      <c r="AI16" s="51">
        <f>AI15*'MODELO NORMAL'!$C$4</f>
        <v>-24747</v>
      </c>
      <c r="AJ16" s="51">
        <f>AJ15*'MODELO NORMAL'!$C$4</f>
        <v>-24747</v>
      </c>
      <c r="AK16" s="51">
        <f>AK15*'MODELO NORMAL'!$C$4</f>
        <v>-25142</v>
      </c>
      <c r="AL16" s="51">
        <f>AL15*'MODELO NORMAL'!$C$4</f>
        <v>-25537</v>
      </c>
      <c r="AM16" s="51">
        <f>AM15*'MODELO NORMAL'!$C$4</f>
        <v>-25932</v>
      </c>
      <c r="AN16" s="51">
        <f>SUM(D16:O16)</f>
        <v>-77761</v>
      </c>
      <c r="AO16" s="51">
        <f>SUM(P16:AA16)</f>
        <v>-187884</v>
      </c>
      <c r="AP16" s="51">
        <f>SUM(AB16:AM16)</f>
        <v>-292629</v>
      </c>
    </row>
    <row r="17" spans="2:42" ht="15" customHeight="1">
      <c r="B17" s="67" t="s">
        <v>241</v>
      </c>
      <c r="D17" s="62">
        <f t="shared" ref="D17:AM17" si="4">D9+D16</f>
        <v>-7605.6820799999996</v>
      </c>
      <c r="E17" s="62">
        <f t="shared" si="4"/>
        <v>-6524.2811199999996</v>
      </c>
      <c r="F17" s="62">
        <f t="shared" si="4"/>
        <v>-5260.3721599999999</v>
      </c>
      <c r="G17" s="62">
        <f t="shared" si="4"/>
        <v>-5476.0920000000006</v>
      </c>
      <c r="H17" s="62">
        <f t="shared" si="4"/>
        <v>-4950.5374400000001</v>
      </c>
      <c r="I17" s="62">
        <f t="shared" si="4"/>
        <v>-5011.9988800000001</v>
      </c>
      <c r="J17" s="62">
        <f t="shared" si="4"/>
        <v>-5291.0811199999998</v>
      </c>
      <c r="K17" s="62">
        <f t="shared" si="4"/>
        <v>-4723.4139999999998</v>
      </c>
      <c r="L17" s="62">
        <f t="shared" si="4"/>
        <v>-4753.8820800000003</v>
      </c>
      <c r="M17" s="62">
        <f t="shared" si="4"/>
        <v>-4498.9171999999999</v>
      </c>
      <c r="N17" s="62">
        <f t="shared" si="4"/>
        <v>-4401.8561599999994</v>
      </c>
      <c r="O17" s="62">
        <f t="shared" si="4"/>
        <v>-4022.5785599999999</v>
      </c>
      <c r="P17" s="62">
        <f t="shared" si="4"/>
        <v>-11218.230879999999</v>
      </c>
      <c r="Q17" s="62">
        <f t="shared" si="4"/>
        <v>-10819.362399999998</v>
      </c>
      <c r="R17" s="62">
        <f t="shared" si="4"/>
        <v>-10404.655360000001</v>
      </c>
      <c r="S17" s="62">
        <f t="shared" si="4"/>
        <v>-10140.565760000001</v>
      </c>
      <c r="T17" s="62">
        <f t="shared" si="4"/>
        <v>-9237.0681600000007</v>
      </c>
      <c r="U17" s="62">
        <f t="shared" si="4"/>
        <v>-8568.5823999999993</v>
      </c>
      <c r="V17" s="62">
        <f t="shared" si="4"/>
        <v>-8138.3619200000003</v>
      </c>
      <c r="W17" s="62">
        <f t="shared" si="4"/>
        <v>-6635.9507199999989</v>
      </c>
      <c r="X17" s="62">
        <f t="shared" si="4"/>
        <v>-5320.8921599999994</v>
      </c>
      <c r="Y17" s="62">
        <f t="shared" si="4"/>
        <v>-3905.4403199999997</v>
      </c>
      <c r="Z17" s="62">
        <f t="shared" si="4"/>
        <v>-2150.6777600000005</v>
      </c>
      <c r="AA17" s="62">
        <f t="shared" si="4"/>
        <v>144.08863999999812</v>
      </c>
      <c r="AB17" s="62">
        <f t="shared" si="4"/>
        <v>-4570.3753600000018</v>
      </c>
      <c r="AC17" s="62">
        <f t="shared" si="4"/>
        <v>-2968.0470399999977</v>
      </c>
      <c r="AD17" s="62">
        <f t="shared" si="4"/>
        <v>-1622.5209600000017</v>
      </c>
      <c r="AE17" s="62">
        <f t="shared" si="4"/>
        <v>-148.17472000000271</v>
      </c>
      <c r="AF17" s="62">
        <f t="shared" si="4"/>
        <v>1458.5776000000005</v>
      </c>
      <c r="AG17" s="62">
        <f t="shared" si="4"/>
        <v>3058.4291200000007</v>
      </c>
      <c r="AH17" s="62">
        <f t="shared" si="4"/>
        <v>4000.0959999999977</v>
      </c>
      <c r="AI17" s="62">
        <f t="shared" si="4"/>
        <v>5875.5254400000013</v>
      </c>
      <c r="AJ17" s="62">
        <f t="shared" si="4"/>
        <v>7879.6022399999929</v>
      </c>
      <c r="AK17" s="62">
        <f t="shared" si="4"/>
        <v>9486.7782399999924</v>
      </c>
      <c r="AL17" s="62">
        <f t="shared" si="4"/>
        <v>10690.074560000008</v>
      </c>
      <c r="AM17" s="62">
        <f t="shared" si="4"/>
        <v>12027.191039999998</v>
      </c>
      <c r="AN17" s="51">
        <f>SUM(D17:O17)</f>
        <v>-62520.692799999997</v>
      </c>
      <c r="AO17" s="51">
        <f>SUM(P17:AA17)</f>
        <v>-86395.699200000003</v>
      </c>
      <c r="AP17" s="51">
        <f>SUM(AB17:AM17)</f>
        <v>45167.156159999991</v>
      </c>
    </row>
    <row r="18" spans="2:42" ht="15" customHeight="1">
      <c r="B18" s="45" t="s">
        <v>242</v>
      </c>
      <c r="D18" s="53">
        <f t="shared" ref="D18:AM18" si="5">IF(D4&gt;0,D17/D4,0)</f>
        <v>-26.955974368425522</v>
      </c>
      <c r="E18" s="53">
        <f t="shared" si="5"/>
        <v>-15.415523358567958</v>
      </c>
      <c r="F18" s="53">
        <f t="shared" si="5"/>
        <v>-9.321876435396522</v>
      </c>
      <c r="G18" s="53">
        <f t="shared" si="5"/>
        <v>-7.7633218974169962</v>
      </c>
      <c r="H18" s="53">
        <f t="shared" si="5"/>
        <v>-5.8485466935079913</v>
      </c>
      <c r="I18" s="53">
        <f t="shared" si="5"/>
        <v>-5.0752774391108337</v>
      </c>
      <c r="J18" s="53">
        <f t="shared" si="5"/>
        <v>-4.688147806855878</v>
      </c>
      <c r="K18" s="53">
        <f t="shared" si="5"/>
        <v>-3.2243714630932954</v>
      </c>
      <c r="L18" s="53">
        <f t="shared" si="5"/>
        <v>-2.7002071384023965</v>
      </c>
      <c r="M18" s="53">
        <f t="shared" si="5"/>
        <v>-2.0474844922609208</v>
      </c>
      <c r="N18" s="53">
        <f t="shared" si="5"/>
        <v>-1.5846589631916548</v>
      </c>
      <c r="O18" s="53">
        <f t="shared" si="5"/>
        <v>-1.150056025003688</v>
      </c>
      <c r="P18" s="53">
        <f t="shared" si="5"/>
        <v>-2.8488921801068221</v>
      </c>
      <c r="Q18" s="53">
        <f t="shared" si="5"/>
        <v>-2.4699879689429785</v>
      </c>
      <c r="R18" s="53">
        <f t="shared" si="5"/>
        <v>-2.0948264749737961</v>
      </c>
      <c r="S18" s="53">
        <f t="shared" si="5"/>
        <v>-1.7770936921250053</v>
      </c>
      <c r="T18" s="53">
        <f t="shared" si="5"/>
        <v>-1.4315611510925166</v>
      </c>
      <c r="U18" s="53">
        <f t="shared" si="5"/>
        <v>-1.1680740493344148</v>
      </c>
      <c r="V18" s="53">
        <f t="shared" si="5"/>
        <v>-0.95671620883558306</v>
      </c>
      <c r="W18" s="53">
        <f t="shared" si="5"/>
        <v>-0.66651654733025778</v>
      </c>
      <c r="X18" s="53">
        <f t="shared" si="5"/>
        <v>-0.46062332316207472</v>
      </c>
      <c r="Y18" s="53">
        <f t="shared" si="5"/>
        <v>-0.28785859562365695</v>
      </c>
      <c r="Z18" s="53">
        <f t="shared" si="5"/>
        <v>-0.13552584280906574</v>
      </c>
      <c r="AA18" s="53">
        <f t="shared" si="5"/>
        <v>7.688888077783217E-3</v>
      </c>
      <c r="AB18" s="53">
        <f t="shared" si="5"/>
        <v>-0.2262028579002458</v>
      </c>
      <c r="AC18" s="53">
        <f t="shared" si="5"/>
        <v>-0.13517404429867402</v>
      </c>
      <c r="AD18" s="53">
        <f t="shared" si="5"/>
        <v>-6.8048592064508556E-2</v>
      </c>
      <c r="AE18" s="53">
        <f t="shared" si="5"/>
        <v>-5.7265198330230891E-3</v>
      </c>
      <c r="AF18" s="53">
        <f t="shared" si="5"/>
        <v>5.2791277614866065E-2</v>
      </c>
      <c r="AG18" s="53">
        <f t="shared" si="5"/>
        <v>0.10407049504335981</v>
      </c>
      <c r="AH18" s="53">
        <f t="shared" si="5"/>
        <v>0.12786215767327139</v>
      </c>
      <c r="AI18" s="53">
        <f t="shared" si="5"/>
        <v>0.1763032064749912</v>
      </c>
      <c r="AJ18" s="53">
        <f t="shared" si="5"/>
        <v>0.22187441420649098</v>
      </c>
      <c r="AK18" s="53">
        <f t="shared" si="5"/>
        <v>0.25159674286652045</v>
      </c>
      <c r="AL18" s="53">
        <f t="shared" si="5"/>
        <v>0.27084567462981196</v>
      </c>
      <c r="AM18" s="53">
        <f t="shared" si="5"/>
        <v>0.29066994600251667</v>
      </c>
      <c r="AN18" s="68"/>
    </row>
    <row r="19" spans="2:42" ht="15" customHeight="1">
      <c r="B19" s="45" t="s">
        <v>243</v>
      </c>
      <c r="D19" s="47">
        <f t="shared" ref="D19:AM19" si="6">IF(D17&gt;0,-D17*0.15,0)</f>
        <v>0</v>
      </c>
      <c r="E19" s="47">
        <f t="shared" si="6"/>
        <v>0</v>
      </c>
      <c r="F19" s="47">
        <f t="shared" si="6"/>
        <v>0</v>
      </c>
      <c r="G19" s="47">
        <f t="shared" si="6"/>
        <v>0</v>
      </c>
      <c r="H19" s="47">
        <f t="shared" si="6"/>
        <v>0</v>
      </c>
      <c r="I19" s="47">
        <f t="shared" si="6"/>
        <v>0</v>
      </c>
      <c r="J19" s="47">
        <f t="shared" si="6"/>
        <v>0</v>
      </c>
      <c r="K19" s="47">
        <f t="shared" si="6"/>
        <v>0</v>
      </c>
      <c r="L19" s="47">
        <f t="shared" si="6"/>
        <v>0</v>
      </c>
      <c r="M19" s="47">
        <f t="shared" si="6"/>
        <v>0</v>
      </c>
      <c r="N19" s="47">
        <f t="shared" si="6"/>
        <v>0</v>
      </c>
      <c r="O19" s="47">
        <f t="shared" si="6"/>
        <v>0</v>
      </c>
      <c r="P19" s="47">
        <f t="shared" si="6"/>
        <v>0</v>
      </c>
      <c r="Q19" s="47">
        <f t="shared" si="6"/>
        <v>0</v>
      </c>
      <c r="R19" s="47">
        <f t="shared" si="6"/>
        <v>0</v>
      </c>
      <c r="S19" s="47">
        <f t="shared" si="6"/>
        <v>0</v>
      </c>
      <c r="T19" s="47">
        <f t="shared" si="6"/>
        <v>0</v>
      </c>
      <c r="U19" s="47">
        <f t="shared" si="6"/>
        <v>0</v>
      </c>
      <c r="V19" s="47">
        <f t="shared" si="6"/>
        <v>0</v>
      </c>
      <c r="W19" s="47">
        <f t="shared" si="6"/>
        <v>0</v>
      </c>
      <c r="X19" s="47">
        <f t="shared" si="6"/>
        <v>0</v>
      </c>
      <c r="Y19" s="47">
        <f t="shared" si="6"/>
        <v>0</v>
      </c>
      <c r="Z19" s="47">
        <f t="shared" si="6"/>
        <v>0</v>
      </c>
      <c r="AA19" s="47">
        <f t="shared" si="6"/>
        <v>-21.613295999999718</v>
      </c>
      <c r="AB19" s="47">
        <f t="shared" si="6"/>
        <v>0</v>
      </c>
      <c r="AC19" s="47">
        <f t="shared" si="6"/>
        <v>0</v>
      </c>
      <c r="AD19" s="47">
        <f t="shared" si="6"/>
        <v>0</v>
      </c>
      <c r="AE19" s="47">
        <f t="shared" si="6"/>
        <v>0</v>
      </c>
      <c r="AF19" s="47">
        <f t="shared" si="6"/>
        <v>-218.78664000000006</v>
      </c>
      <c r="AG19" s="47">
        <f t="shared" si="6"/>
        <v>-458.7643680000001</v>
      </c>
      <c r="AH19" s="47">
        <f t="shared" si="6"/>
        <v>-600.01439999999968</v>
      </c>
      <c r="AI19" s="47">
        <f t="shared" si="6"/>
        <v>-881.32881600000019</v>
      </c>
      <c r="AJ19" s="47">
        <f t="shared" si="6"/>
        <v>-1181.940335999999</v>
      </c>
      <c r="AK19" s="47">
        <f t="shared" si="6"/>
        <v>-1423.0167359999989</v>
      </c>
      <c r="AL19" s="47">
        <f t="shared" si="6"/>
        <v>-1603.5111840000011</v>
      </c>
      <c r="AM19" s="47">
        <f t="shared" si="6"/>
        <v>-1804.0786559999997</v>
      </c>
      <c r="AN19" s="51">
        <f>SUM(D19:O19)</f>
        <v>0</v>
      </c>
      <c r="AO19" s="51">
        <f>SUM(P19:AA19)</f>
        <v>-21.613295999999718</v>
      </c>
      <c r="AP19" s="51">
        <f>SUM(AB19:AM19)</f>
        <v>-8171.4411359999986</v>
      </c>
    </row>
    <row r="20" spans="2:42" ht="15" customHeight="1">
      <c r="B20" s="45" t="s">
        <v>244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250</v>
      </c>
      <c r="J20" s="47">
        <v>250</v>
      </c>
      <c r="K20" s="47">
        <v>250</v>
      </c>
      <c r="L20" s="47">
        <v>250</v>
      </c>
      <c r="M20" s="47">
        <v>250</v>
      </c>
      <c r="N20" s="47">
        <v>250</v>
      </c>
      <c r="O20" s="47">
        <v>250</v>
      </c>
      <c r="P20" s="47">
        <v>250</v>
      </c>
      <c r="Q20" s="47">
        <v>250</v>
      </c>
      <c r="R20" s="47">
        <v>250</v>
      </c>
      <c r="S20" s="47">
        <v>250</v>
      </c>
      <c r="T20" s="47">
        <v>250</v>
      </c>
      <c r="U20" s="47">
        <v>250</v>
      </c>
      <c r="V20" s="47">
        <v>250</v>
      </c>
      <c r="W20" s="47">
        <v>250</v>
      </c>
      <c r="X20" s="47">
        <v>250</v>
      </c>
      <c r="Y20" s="47">
        <v>250</v>
      </c>
      <c r="Z20" s="47">
        <v>250</v>
      </c>
      <c r="AA20" s="47">
        <v>250</v>
      </c>
      <c r="AB20" s="47">
        <v>250</v>
      </c>
      <c r="AC20" s="47">
        <v>250</v>
      </c>
      <c r="AD20" s="47">
        <v>250</v>
      </c>
      <c r="AE20" s="47">
        <v>250</v>
      </c>
      <c r="AF20" s="47">
        <v>250</v>
      </c>
      <c r="AG20" s="47">
        <v>243.64</v>
      </c>
      <c r="AH20" s="47">
        <v>237.26</v>
      </c>
      <c r="AI20" s="47">
        <v>230.84</v>
      </c>
      <c r="AJ20" s="47">
        <v>224</v>
      </c>
      <c r="AK20" s="47">
        <v>217</v>
      </c>
      <c r="AL20" s="47">
        <v>211</v>
      </c>
      <c r="AM20" s="47">
        <v>204</v>
      </c>
      <c r="AN20" s="51">
        <f>SUM(D20:O20)</f>
        <v>1750</v>
      </c>
      <c r="AO20" s="51">
        <f>SUM(P20:AA20)</f>
        <v>3000</v>
      </c>
      <c r="AP20" s="51">
        <f>SUM(AB20:AM20)</f>
        <v>2817.74</v>
      </c>
    </row>
    <row r="21" spans="2:42" ht="15" customHeight="1">
      <c r="B21" s="67" t="s">
        <v>245</v>
      </c>
      <c r="D21" s="62">
        <f t="shared" ref="D21:AM21" si="7">D17+D19-D20</f>
        <v>-7605.6820799999996</v>
      </c>
      <c r="E21" s="62">
        <f t="shared" si="7"/>
        <v>-6524.2811199999996</v>
      </c>
      <c r="F21" s="62">
        <f t="shared" si="7"/>
        <v>-5260.3721599999999</v>
      </c>
      <c r="G21" s="62">
        <f t="shared" si="7"/>
        <v>-5476.0920000000006</v>
      </c>
      <c r="H21" s="62">
        <f t="shared" si="7"/>
        <v>-4950.5374400000001</v>
      </c>
      <c r="I21" s="62">
        <f t="shared" si="7"/>
        <v>-5261.9988800000001</v>
      </c>
      <c r="J21" s="62">
        <f t="shared" si="7"/>
        <v>-5541.0811199999998</v>
      </c>
      <c r="K21" s="62">
        <f t="shared" si="7"/>
        <v>-4973.4139999999998</v>
      </c>
      <c r="L21" s="62">
        <f t="shared" si="7"/>
        <v>-5003.8820800000003</v>
      </c>
      <c r="M21" s="62">
        <f t="shared" si="7"/>
        <v>-4748.9171999999999</v>
      </c>
      <c r="N21" s="62">
        <f t="shared" si="7"/>
        <v>-4651.8561599999994</v>
      </c>
      <c r="O21" s="62">
        <f t="shared" si="7"/>
        <v>-4272.5785599999999</v>
      </c>
      <c r="P21" s="62">
        <f t="shared" si="7"/>
        <v>-11468.230879999999</v>
      </c>
      <c r="Q21" s="62">
        <f t="shared" si="7"/>
        <v>-11069.362399999998</v>
      </c>
      <c r="R21" s="62">
        <f t="shared" si="7"/>
        <v>-10654.655360000001</v>
      </c>
      <c r="S21" s="62">
        <f t="shared" si="7"/>
        <v>-10390.565760000001</v>
      </c>
      <c r="T21" s="62">
        <f t="shared" si="7"/>
        <v>-9487.0681600000007</v>
      </c>
      <c r="U21" s="62">
        <f t="shared" si="7"/>
        <v>-8818.5823999999993</v>
      </c>
      <c r="V21" s="62">
        <f t="shared" si="7"/>
        <v>-8388.3619199999994</v>
      </c>
      <c r="W21" s="62">
        <f t="shared" si="7"/>
        <v>-6885.9507199999989</v>
      </c>
      <c r="X21" s="62">
        <f t="shared" si="7"/>
        <v>-5570.8921599999994</v>
      </c>
      <c r="Y21" s="62">
        <f t="shared" si="7"/>
        <v>-4155.4403199999997</v>
      </c>
      <c r="Z21" s="62">
        <f t="shared" si="7"/>
        <v>-2400.6777600000005</v>
      </c>
      <c r="AA21" s="62">
        <f t="shared" si="7"/>
        <v>-127.5246560000016</v>
      </c>
      <c r="AB21" s="62">
        <f t="shared" si="7"/>
        <v>-4820.3753600000018</v>
      </c>
      <c r="AC21" s="62">
        <f t="shared" si="7"/>
        <v>-3218.0470399999977</v>
      </c>
      <c r="AD21" s="62">
        <f t="shared" si="7"/>
        <v>-1872.5209600000017</v>
      </c>
      <c r="AE21" s="62">
        <f t="shared" si="7"/>
        <v>-398.17472000000271</v>
      </c>
      <c r="AF21" s="62">
        <f t="shared" si="7"/>
        <v>989.7909600000005</v>
      </c>
      <c r="AG21" s="62">
        <f t="shared" si="7"/>
        <v>2356.0247520000007</v>
      </c>
      <c r="AH21" s="62">
        <f t="shared" si="7"/>
        <v>3162.8215999999984</v>
      </c>
      <c r="AI21" s="62">
        <f t="shared" si="7"/>
        <v>4763.3566240000009</v>
      </c>
      <c r="AJ21" s="62">
        <f t="shared" si="7"/>
        <v>6473.6619039999941</v>
      </c>
      <c r="AK21" s="62">
        <f t="shared" si="7"/>
        <v>7846.7615039999937</v>
      </c>
      <c r="AL21" s="62">
        <f t="shared" si="7"/>
        <v>8875.5633760000073</v>
      </c>
      <c r="AM21" s="62">
        <f t="shared" si="7"/>
        <v>10019.112383999998</v>
      </c>
      <c r="AN21" s="51">
        <f>SUM(D21:O21)</f>
        <v>-64270.692799999997</v>
      </c>
      <c r="AO21" s="51">
        <f>SUM(P21:AA21)</f>
        <v>-89417.312496000013</v>
      </c>
      <c r="AP21" s="51">
        <f>SUM(AB21:AM21)</f>
        <v>34177.975023999992</v>
      </c>
    </row>
    <row r="22" spans="2:42" ht="15" customHeight="1">
      <c r="B22" s="45" t="s">
        <v>246</v>
      </c>
      <c r="D22" s="53">
        <f t="shared" ref="D22:AM22" si="8">IF(D6=0,0,D21/D6)</f>
        <v>-27.506096294311757</v>
      </c>
      <c r="E22" s="53">
        <f t="shared" si="8"/>
        <v>-15.730125876089753</v>
      </c>
      <c r="F22" s="53">
        <f t="shared" si="8"/>
        <v>-9.5121188116291044</v>
      </c>
      <c r="G22" s="53">
        <f t="shared" si="8"/>
        <v>-7.9217570381806084</v>
      </c>
      <c r="H22" s="53">
        <f t="shared" si="8"/>
        <v>-5.9679047892938684</v>
      </c>
      <c r="I22" s="53">
        <f t="shared" si="8"/>
        <v>-5.4371773393114324</v>
      </c>
      <c r="J22" s="53">
        <f t="shared" si="8"/>
        <v>-5.009856751115767</v>
      </c>
      <c r="K22" s="53">
        <f t="shared" si="8"/>
        <v>-3.4643167463516247</v>
      </c>
      <c r="L22" s="53">
        <f t="shared" si="8"/>
        <v>-2.9002114793168201</v>
      </c>
      <c r="M22" s="53">
        <f t="shared" si="8"/>
        <v>-2.2053683753855973</v>
      </c>
      <c r="N22" s="53">
        <f t="shared" si="8"/>
        <v>-1.7088351404027797</v>
      </c>
      <c r="O22" s="53">
        <f t="shared" si="8"/>
        <v>-1.2464602812618508</v>
      </c>
      <c r="P22" s="53">
        <f t="shared" si="8"/>
        <v>-2.9718165105784378</v>
      </c>
      <c r="Q22" s="53">
        <f t="shared" si="8"/>
        <v>-2.5786339739476332</v>
      </c>
      <c r="R22" s="53">
        <f t="shared" si="8"/>
        <v>-2.1889391322767078</v>
      </c>
      <c r="S22" s="53">
        <f t="shared" si="8"/>
        <v>-1.8580665252166708</v>
      </c>
      <c r="T22" s="53">
        <f t="shared" si="8"/>
        <v>-1.5003124081229329</v>
      </c>
      <c r="U22" s="53">
        <f t="shared" si="8"/>
        <v>-1.2266879512228301</v>
      </c>
      <c r="V22" s="53">
        <f t="shared" si="8"/>
        <v>-1.0062298969326766</v>
      </c>
      <c r="W22" s="53">
        <f t="shared" si="8"/>
        <v>-0.70574143852640991</v>
      </c>
      <c r="X22" s="53">
        <f t="shared" si="8"/>
        <v>-0.49210768024100526</v>
      </c>
      <c r="Y22" s="53">
        <f t="shared" si="8"/>
        <v>-0.31253608694795026</v>
      </c>
      <c r="Z22" s="53">
        <f t="shared" si="8"/>
        <v>-0.15436703626508352</v>
      </c>
      <c r="AA22" s="53">
        <f t="shared" si="8"/>
        <v>-6.943874802866748E-3</v>
      </c>
      <c r="AB22" s="53">
        <f t="shared" si="8"/>
        <v>-0.24344507895993941</v>
      </c>
      <c r="AC22" s="53">
        <f t="shared" si="8"/>
        <v>-0.14955083439901529</v>
      </c>
      <c r="AD22" s="53">
        <f t="shared" si="8"/>
        <v>-8.013632833872443E-2</v>
      </c>
      <c r="AE22" s="53">
        <f t="shared" si="8"/>
        <v>-1.5702335832970128E-2</v>
      </c>
      <c r="AF22" s="53">
        <f t="shared" si="8"/>
        <v>3.6555273725863514E-2</v>
      </c>
      <c r="AG22" s="53">
        <f t="shared" si="8"/>
        <v>8.1805588536318058E-2</v>
      </c>
      <c r="AH22" s="53">
        <f t="shared" si="8"/>
        <v>0.10316211444385244</v>
      </c>
      <c r="AI22" s="53">
        <f t="shared" si="8"/>
        <v>0.14584801471156855</v>
      </c>
      <c r="AJ22" s="53">
        <f t="shared" si="8"/>
        <v>0.18600596300866137</v>
      </c>
      <c r="AK22" s="53">
        <f t="shared" si="8"/>
        <v>0.2123492066701016</v>
      </c>
      <c r="AL22" s="53">
        <f t="shared" si="8"/>
        <v>0.22946213166699422</v>
      </c>
      <c r="AM22" s="53">
        <f t="shared" si="8"/>
        <v>0.24708085357017165</v>
      </c>
    </row>
    <row r="26" spans="2:42" ht="60.75" customHeight="1"/>
  </sheetData>
  <mergeCells count="1">
    <mergeCell ref="B1:AP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B1:AP30"/>
  <sheetViews>
    <sheetView showGridLines="0" zoomScaleNormal="100" workbookViewId="0">
      <pane xSplit="3" ySplit="3" topLeftCell="AE4" activePane="bottomRight" state="frozen"/>
      <selection activeCell="AN20" sqref="AN20"/>
      <selection pane="topRight" activeCell="AN20" sqref="AN20"/>
      <selection pane="bottomLeft" activeCell="AN20" sqref="AN20"/>
      <selection pane="bottomRight" activeCell="Z18" sqref="Z18"/>
    </sheetView>
  </sheetViews>
  <sheetFormatPr baseColWidth="10" defaultColWidth="8.6640625" defaultRowHeight="15"/>
  <cols>
    <col min="1" max="1" width="3" customWidth="1"/>
    <col min="2" max="2" width="35" customWidth="1"/>
    <col min="3" max="39" width="10" customWidth="1"/>
    <col min="40" max="42" width="14" customWidth="1"/>
  </cols>
  <sheetData>
    <row r="1" spans="2:42" ht="24.75" customHeight="1">
      <c r="B1" s="13" t="s">
        <v>247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 spans="2:42" ht="15" customHeight="1">
      <c r="B2" s="34" t="s">
        <v>187</v>
      </c>
      <c r="C2" s="34" t="s">
        <v>228</v>
      </c>
      <c r="D2" s="34" t="s">
        <v>32</v>
      </c>
      <c r="E2" s="34" t="s">
        <v>32</v>
      </c>
      <c r="F2" s="34" t="s">
        <v>32</v>
      </c>
      <c r="G2" s="34" t="s">
        <v>32</v>
      </c>
      <c r="H2" s="34" t="s">
        <v>32</v>
      </c>
      <c r="I2" s="34" t="s">
        <v>32</v>
      </c>
      <c r="J2" s="34" t="s">
        <v>32</v>
      </c>
      <c r="K2" s="34" t="s">
        <v>32</v>
      </c>
      <c r="L2" s="34" t="s">
        <v>32</v>
      </c>
      <c r="M2" s="34" t="s">
        <v>32</v>
      </c>
      <c r="N2" s="34" t="s">
        <v>32</v>
      </c>
      <c r="O2" s="34" t="s">
        <v>32</v>
      </c>
      <c r="P2" s="34" t="s">
        <v>33</v>
      </c>
      <c r="Q2" s="34" t="s">
        <v>33</v>
      </c>
      <c r="R2" s="34" t="s">
        <v>33</v>
      </c>
      <c r="S2" s="34" t="s">
        <v>33</v>
      </c>
      <c r="T2" s="34" t="s">
        <v>33</v>
      </c>
      <c r="U2" s="34" t="s">
        <v>33</v>
      </c>
      <c r="V2" s="34" t="s">
        <v>33</v>
      </c>
      <c r="W2" s="34" t="s">
        <v>33</v>
      </c>
      <c r="X2" s="34" t="s">
        <v>33</v>
      </c>
      <c r="Y2" s="34" t="s">
        <v>33</v>
      </c>
      <c r="Z2" s="34" t="s">
        <v>33</v>
      </c>
      <c r="AA2" s="34" t="s">
        <v>33</v>
      </c>
      <c r="AB2" s="34" t="s">
        <v>34</v>
      </c>
      <c r="AC2" s="34" t="s">
        <v>34</v>
      </c>
      <c r="AD2" s="34" t="s">
        <v>34</v>
      </c>
      <c r="AE2" s="34" t="s">
        <v>34</v>
      </c>
      <c r="AF2" s="34" t="s">
        <v>34</v>
      </c>
      <c r="AG2" s="34" t="s">
        <v>34</v>
      </c>
      <c r="AH2" s="34" t="s">
        <v>34</v>
      </c>
      <c r="AI2" s="34" t="s">
        <v>34</v>
      </c>
      <c r="AJ2" s="34" t="s">
        <v>34</v>
      </c>
      <c r="AK2" s="34" t="s">
        <v>34</v>
      </c>
      <c r="AL2" s="34" t="s">
        <v>34</v>
      </c>
      <c r="AM2" s="34" t="s">
        <v>34</v>
      </c>
      <c r="AN2" s="35" t="s">
        <v>99</v>
      </c>
      <c r="AO2" s="35" t="s">
        <v>100</v>
      </c>
      <c r="AP2" s="35" t="s">
        <v>101</v>
      </c>
    </row>
    <row r="3" spans="2:42" ht="15" customHeight="1">
      <c r="B3" s="36" t="s">
        <v>248</v>
      </c>
      <c r="C3" s="36" t="s">
        <v>228</v>
      </c>
      <c r="D3" s="37" t="s">
        <v>104</v>
      </c>
      <c r="E3" s="37" t="s">
        <v>105</v>
      </c>
      <c r="F3" s="37" t="s">
        <v>106</v>
      </c>
      <c r="G3" s="37" t="s">
        <v>107</v>
      </c>
      <c r="H3" s="37" t="s">
        <v>108</v>
      </c>
      <c r="I3" s="37" t="s">
        <v>109</v>
      </c>
      <c r="J3" s="37" t="s">
        <v>110</v>
      </c>
      <c r="K3" s="37" t="s">
        <v>111</v>
      </c>
      <c r="L3" s="37" t="s">
        <v>112</v>
      </c>
      <c r="M3" s="37" t="s">
        <v>113</v>
      </c>
      <c r="N3" s="37" t="s">
        <v>114</v>
      </c>
      <c r="O3" s="37" t="s">
        <v>115</v>
      </c>
      <c r="P3" s="37" t="s">
        <v>116</v>
      </c>
      <c r="Q3" s="37" t="s">
        <v>117</v>
      </c>
      <c r="R3" s="37" t="s">
        <v>118</v>
      </c>
      <c r="S3" s="37" t="s">
        <v>119</v>
      </c>
      <c r="T3" s="37" t="s">
        <v>120</v>
      </c>
      <c r="U3" s="37" t="s">
        <v>121</v>
      </c>
      <c r="V3" s="37" t="s">
        <v>122</v>
      </c>
      <c r="W3" s="37" t="s">
        <v>123</v>
      </c>
      <c r="X3" s="37" t="s">
        <v>124</v>
      </c>
      <c r="Y3" s="37" t="s">
        <v>125</v>
      </c>
      <c r="Z3" s="37" t="s">
        <v>126</v>
      </c>
      <c r="AA3" s="37" t="s">
        <v>127</v>
      </c>
      <c r="AB3" s="37" t="s">
        <v>128</v>
      </c>
      <c r="AC3" s="37" t="s">
        <v>129</v>
      </c>
      <c r="AD3" s="37" t="s">
        <v>130</v>
      </c>
      <c r="AE3" s="37" t="s">
        <v>131</v>
      </c>
      <c r="AF3" s="37" t="s">
        <v>132</v>
      </c>
      <c r="AG3" s="37" t="s">
        <v>133</v>
      </c>
      <c r="AH3" s="37" t="s">
        <v>134</v>
      </c>
      <c r="AI3" s="37" t="s">
        <v>135</v>
      </c>
      <c r="AJ3" s="37" t="s">
        <v>136</v>
      </c>
      <c r="AK3" s="37" t="s">
        <v>137</v>
      </c>
      <c r="AL3" s="37" t="s">
        <v>138</v>
      </c>
      <c r="AM3" s="37" t="s">
        <v>139</v>
      </c>
      <c r="AN3" s="36" t="s">
        <v>99</v>
      </c>
      <c r="AO3" s="36" t="s">
        <v>100</v>
      </c>
      <c r="AP3" s="36" t="s">
        <v>101</v>
      </c>
    </row>
    <row r="4" spans="2:42" ht="15" customHeight="1">
      <c r="B4" s="95" t="s">
        <v>249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</row>
    <row r="5" spans="2:42" ht="15" customHeight="1">
      <c r="B5" s="69" t="s">
        <v>250</v>
      </c>
      <c r="C5" s="70">
        <v>2</v>
      </c>
    </row>
    <row r="6" spans="2:42" ht="15" customHeight="1">
      <c r="B6" s="69" t="s">
        <v>251</v>
      </c>
      <c r="C6" s="70">
        <v>30</v>
      </c>
    </row>
    <row r="7" spans="2:42" ht="15" customHeight="1">
      <c r="B7" s="69" t="s">
        <v>252</v>
      </c>
      <c r="C7" s="71">
        <v>180000</v>
      </c>
    </row>
    <row r="8" spans="2:42" ht="15" customHeight="1">
      <c r="B8" s="69" t="s">
        <v>253</v>
      </c>
      <c r="C8" s="71">
        <v>50000</v>
      </c>
    </row>
    <row r="9" spans="2:42" ht="15" customHeight="1">
      <c r="B9" s="94" t="s">
        <v>254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</row>
    <row r="10" spans="2:42" ht="15" customHeight="1">
      <c r="B10" s="45" t="s">
        <v>255</v>
      </c>
      <c r="D10" s="64">
        <f>'P&amp;L'!D21</f>
        <v>-7605.6820799999996</v>
      </c>
      <c r="E10" s="64">
        <f>'P&amp;L'!E21</f>
        <v>-6524.2811199999996</v>
      </c>
      <c r="F10" s="64">
        <f>'P&amp;L'!F21</f>
        <v>-5260.3721599999999</v>
      </c>
      <c r="G10" s="64">
        <f>'P&amp;L'!G21</f>
        <v>-5476.0920000000006</v>
      </c>
      <c r="H10" s="64">
        <f>'P&amp;L'!H21</f>
        <v>-4950.5374400000001</v>
      </c>
      <c r="I10" s="64">
        <f>'P&amp;L'!I21</f>
        <v>-5261.9988800000001</v>
      </c>
      <c r="J10" s="64">
        <f>'P&amp;L'!J21</f>
        <v>-5541.0811199999998</v>
      </c>
      <c r="K10" s="64">
        <f>'P&amp;L'!K21</f>
        <v>-4973.4139999999998</v>
      </c>
      <c r="L10" s="64">
        <f>'P&amp;L'!L21</f>
        <v>-5003.8820800000003</v>
      </c>
      <c r="M10" s="64">
        <f>'P&amp;L'!M21</f>
        <v>-4748.9171999999999</v>
      </c>
      <c r="N10" s="64">
        <f>'P&amp;L'!N21</f>
        <v>-4651.8561599999994</v>
      </c>
      <c r="O10" s="64">
        <f>'P&amp;L'!O21</f>
        <v>-4272.5785599999999</v>
      </c>
      <c r="P10" s="64">
        <f>'P&amp;L'!P21</f>
        <v>-11468.230879999999</v>
      </c>
      <c r="Q10" s="64">
        <f>'P&amp;L'!Q21</f>
        <v>-11069.362399999998</v>
      </c>
      <c r="R10" s="64">
        <f>'P&amp;L'!R21</f>
        <v>-10654.655360000001</v>
      </c>
      <c r="S10" s="64">
        <f>'P&amp;L'!S21</f>
        <v>-10390.565760000001</v>
      </c>
      <c r="T10" s="64">
        <f>'P&amp;L'!T21</f>
        <v>-9487.0681600000007</v>
      </c>
      <c r="U10" s="64">
        <f>'P&amp;L'!U21</f>
        <v>-8818.5823999999993</v>
      </c>
      <c r="V10" s="64">
        <f>'P&amp;L'!V21</f>
        <v>-8388.3619199999994</v>
      </c>
      <c r="W10" s="64">
        <f>'P&amp;L'!W21</f>
        <v>-6885.9507199999989</v>
      </c>
      <c r="X10" s="64">
        <f>'P&amp;L'!X21</f>
        <v>-5570.8921599999994</v>
      </c>
      <c r="Y10" s="64">
        <f>'P&amp;L'!Y21</f>
        <v>-4155.4403199999997</v>
      </c>
      <c r="Z10" s="64">
        <f>'P&amp;L'!Z21</f>
        <v>-2400.6777600000005</v>
      </c>
      <c r="AA10" s="64">
        <f>'P&amp;L'!AA21</f>
        <v>-127.5246560000016</v>
      </c>
      <c r="AB10" s="64">
        <f>'P&amp;L'!AB21</f>
        <v>-4820.3753600000018</v>
      </c>
      <c r="AC10" s="64">
        <f>'P&amp;L'!AC21</f>
        <v>-3218.0470399999977</v>
      </c>
      <c r="AD10" s="64">
        <f>'P&amp;L'!AD21</f>
        <v>-1872.5209600000017</v>
      </c>
      <c r="AE10" s="64">
        <f>'P&amp;L'!AE21</f>
        <v>-398.17472000000271</v>
      </c>
      <c r="AF10" s="64">
        <f>'P&amp;L'!AF21</f>
        <v>989.7909600000005</v>
      </c>
      <c r="AG10" s="64">
        <f>'P&amp;L'!AG21</f>
        <v>2356.0247520000007</v>
      </c>
      <c r="AH10" s="64">
        <f>'P&amp;L'!AH21</f>
        <v>3162.8215999999984</v>
      </c>
      <c r="AI10" s="64">
        <f>'P&amp;L'!AI21</f>
        <v>4763.3566240000009</v>
      </c>
      <c r="AJ10" s="64">
        <f>'P&amp;L'!AJ21</f>
        <v>6473.6619039999941</v>
      </c>
      <c r="AK10" s="64">
        <f>'P&amp;L'!AK21</f>
        <v>7846.7615039999937</v>
      </c>
      <c r="AL10" s="64">
        <f>'P&amp;L'!AL21</f>
        <v>8875.5633760000073</v>
      </c>
      <c r="AM10" s="64">
        <f>'P&amp;L'!AM21</f>
        <v>10019.112383999998</v>
      </c>
      <c r="AN10" s="51">
        <f t="shared" ref="AN10:AN18" si="0">SUM(D10:O10)</f>
        <v>-64270.692799999997</v>
      </c>
      <c r="AO10" s="51">
        <f t="shared" ref="AO10:AO18" si="1">SUM(P10:AA10)</f>
        <v>-89417.312496000013</v>
      </c>
      <c r="AP10" s="51">
        <f t="shared" ref="AP10:AP18" si="2">SUM(AB10:AM10)</f>
        <v>34177.975023999992</v>
      </c>
    </row>
    <row r="11" spans="2:42" ht="15" customHeight="1">
      <c r="B11" s="45" t="s">
        <v>256</v>
      </c>
      <c r="D11" s="47">
        <f>('P&amp;L'!D9)*1.21</f>
        <v>320.42968320000006</v>
      </c>
      <c r="E11" s="47">
        <f>('P&amp;L'!E9)*1.21</f>
        <v>479.42484480000002</v>
      </c>
      <c r="F11" s="47">
        <f>('P&amp;L'!F9)*1.21</f>
        <v>639.63968640000007</v>
      </c>
      <c r="G11" s="47">
        <f>('P&amp;L'!G9)*1.21</f>
        <v>795.46367999999984</v>
      </c>
      <c r="H11" s="47">
        <f>('P&amp;L'!H9)*1.21</f>
        <v>947.38469759999998</v>
      </c>
      <c r="I11" s="47">
        <f>('P&amp;L'!I9)*1.21</f>
        <v>1096.8663552</v>
      </c>
      <c r="J11" s="47">
        <f>('P&amp;L'!J9)*1.21</f>
        <v>1243.1768448000003</v>
      </c>
      <c r="K11" s="47">
        <f>('P&amp;L'!K9)*1.21</f>
        <v>1613.5785599999999</v>
      </c>
      <c r="L11" s="47">
        <f>('P&amp;L'!L9)*1.21</f>
        <v>1935.0536832</v>
      </c>
      <c r="M11" s="47">
        <f>('P&amp;L'!M9)*1.21</f>
        <v>2420.4026880000006</v>
      </c>
      <c r="N11" s="47">
        <f>('P&amp;L'!N9)*1.21</f>
        <v>3068.3710464000001</v>
      </c>
      <c r="O11" s="47">
        <f>('P&amp;L'!O9)*1.21</f>
        <v>3880.9799423999998</v>
      </c>
      <c r="P11" s="47">
        <f>('P&amp;L'!P9)*1.21</f>
        <v>4364.7956352000001</v>
      </c>
      <c r="Q11" s="47">
        <f>('P&amp;L'!Q9)*1.21</f>
        <v>4847.426496000001</v>
      </c>
      <c r="R11" s="47">
        <f>('P&amp;L'!R9)*1.21</f>
        <v>5492.6070144000005</v>
      </c>
      <c r="S11" s="47">
        <f>('P&amp;L'!S9)*1.21</f>
        <v>6296.1554303999992</v>
      </c>
      <c r="T11" s="47">
        <f>('P&amp;L'!T9)*1.21</f>
        <v>7096.5675263999992</v>
      </c>
      <c r="U11" s="47">
        <f>('P&amp;L'!U9)*1.21</f>
        <v>8062.7352959999998</v>
      </c>
      <c r="V11" s="47">
        <f>('P&amp;L'!V9)*1.21</f>
        <v>9354.0720767999992</v>
      </c>
      <c r="W11" s="47">
        <f>('P&amp;L'!W9)*1.21</f>
        <v>10974.7596288</v>
      </c>
      <c r="X11" s="47">
        <f>('P&amp;L'!X9)*1.21</f>
        <v>12757.1604864</v>
      </c>
      <c r="Y11" s="47">
        <f>('P&amp;L'!Y9)*1.21</f>
        <v>15032.507212799999</v>
      </c>
      <c r="Z11" s="47">
        <f>('P&amp;L'!Z9)*1.21</f>
        <v>17633.719910399999</v>
      </c>
      <c r="AA11" s="47">
        <f>('P&amp;L'!AA9)*1.21</f>
        <v>20888.337254399998</v>
      </c>
      <c r="AB11" s="47">
        <f>('P&amp;L'!AB9)*1.21</f>
        <v>22501.915814399996</v>
      </c>
      <c r="AC11" s="47">
        <f>('P&amp;L'!AC9)*1.21</f>
        <v>24440.733081600003</v>
      </c>
      <c r="AD11" s="47">
        <f>('P&amp;L'!AD9)*1.21</f>
        <v>26546.769638399997</v>
      </c>
      <c r="AE11" s="47">
        <f>('P&amp;L'!AE9)*1.21</f>
        <v>28814.728588799997</v>
      </c>
      <c r="AF11" s="47">
        <f>('P&amp;L'!AF9)*1.21</f>
        <v>30752.848896</v>
      </c>
      <c r="AG11" s="47">
        <f>('P&amp;L'!AG9)*1.21</f>
        <v>32688.669235199999</v>
      </c>
      <c r="AH11" s="47">
        <f>('P&amp;L'!AH9)*1.21</f>
        <v>34790.036159999996</v>
      </c>
      <c r="AI11" s="47">
        <f>('P&amp;L'!AI9)*1.21</f>
        <v>37053.255782400003</v>
      </c>
      <c r="AJ11" s="47">
        <f>('P&amp;L'!AJ9)*1.21</f>
        <v>39478.188710399991</v>
      </c>
      <c r="AK11" s="47">
        <f>('P&amp;L'!AK9)*1.21</f>
        <v>41900.821670399986</v>
      </c>
      <c r="AL11" s="47">
        <f>('P&amp;L'!AL9)*1.21</f>
        <v>43834.760217600007</v>
      </c>
      <c r="AM11" s="47">
        <f>('P&amp;L'!AM9)*1.21</f>
        <v>45930.621158399998</v>
      </c>
      <c r="AN11" s="51">
        <f t="shared" si="0"/>
        <v>18440.771712000002</v>
      </c>
      <c r="AO11" s="51">
        <f t="shared" si="1"/>
        <v>122800.843968</v>
      </c>
      <c r="AP11" s="51">
        <f t="shared" si="2"/>
        <v>408733.34895359993</v>
      </c>
    </row>
    <row r="12" spans="2:42" ht="15" customHeight="1">
      <c r="B12" s="45" t="s">
        <v>257</v>
      </c>
      <c r="D12" s="47"/>
      <c r="E12" s="47">
        <f>('COGS &amp; SG&amp;A'!E46+'COGS &amp; SG&amp;A'!E47)*1.21</f>
        <v>2565.8049999999998</v>
      </c>
      <c r="F12" s="47">
        <f>('COGS &amp; SG&amp;A'!F46+'COGS &amp; SG&amp;A'!F47)*1.21</f>
        <v>1196.69</v>
      </c>
      <c r="G12" s="47">
        <f>('COGS &amp; SG&amp;A'!G46+'COGS &amp; SG&amp;A'!G47)*1.21</f>
        <v>1613.5349999999999</v>
      </c>
      <c r="H12" s="47">
        <f>('COGS &amp; SG&amp;A'!H46+'COGS &amp; SG&amp;A'!H47)*1.21</f>
        <v>1129.5349999999999</v>
      </c>
      <c r="I12" s="47">
        <f>('COGS &amp; SG&amp;A'!I46+'COGS &amp; SG&amp;A'!I47)*1.21</f>
        <v>1353.385</v>
      </c>
      <c r="J12" s="47">
        <f>('COGS &amp; SG&amp;A'!J46+'COGS &amp; SG&amp;A'!J47)*1.21</f>
        <v>1837.385</v>
      </c>
      <c r="K12" s="47">
        <f>('COGS &amp; SG&amp;A'!K46+'COGS &amp; SG&amp;A'!K47)*1.21</f>
        <v>1520.9095</v>
      </c>
      <c r="L12" s="47">
        <f>('COGS &amp; SG&amp;A'!L46+'COGS &amp; SG&amp;A'!L47)*1.21</f>
        <v>1879.2509999999997</v>
      </c>
      <c r="M12" s="47">
        <f>('COGS &amp; SG&amp;A'!M46+'COGS &amp; SG&amp;A'!M47)*1.21</f>
        <v>2056.0924999999997</v>
      </c>
      <c r="N12" s="47">
        <f>('COGS &amp; SG&amp;A'!N46+'COGS &amp; SG&amp;A'!N47)*1.21</f>
        <v>2586.6169999999997</v>
      </c>
      <c r="O12" s="47">
        <f>('COGS &amp; SG&amp;A'!O46+'COGS &amp; SG&amp;A'!O47)*1.21</f>
        <v>2940.2999999999997</v>
      </c>
      <c r="P12" s="47">
        <f>('COGS &amp; SG&amp;A'!P46+'COGS &amp; SG&amp;A'!P47)*1.21</f>
        <v>3176.855</v>
      </c>
      <c r="Q12" s="47">
        <f>('COGS &amp; SG&amp;A'!Q46+'COGS &amp; SG&amp;A'!Q47)*1.21</f>
        <v>3176.855</v>
      </c>
      <c r="R12" s="47">
        <f>('COGS &amp; SG&amp;A'!R46+'COGS &amp; SG&amp;A'!R47)*1.21</f>
        <v>3320.24</v>
      </c>
      <c r="S12" s="47">
        <f>('COGS &amp; SG&amp;A'!S46+'COGS &amp; SG&amp;A'!S47)*1.21</f>
        <v>3804.24</v>
      </c>
      <c r="T12" s="47">
        <f>('COGS &amp; SG&amp;A'!T46+'COGS &amp; SG&amp;A'!T47)*1.21</f>
        <v>3511.42</v>
      </c>
      <c r="U12" s="47">
        <f>('COGS &amp; SG&amp;A'!U46+'COGS &amp; SG&amp;A'!U47)*1.21</f>
        <v>3668.72</v>
      </c>
      <c r="V12" s="47">
        <f>('COGS &amp; SG&amp;A'!V46+'COGS &amp; SG&amp;A'!V47)*1.21</f>
        <v>4439.49</v>
      </c>
      <c r="W12" s="47">
        <f>('COGS &amp; SG&amp;A'!W46+'COGS &amp; SG&amp;A'!W47)*1.21</f>
        <v>4242.26</v>
      </c>
      <c r="X12" s="47">
        <f>('COGS &amp; SG&amp;A'!X46+'COGS &amp; SG&amp;A'!X47)*1.21</f>
        <v>4433.4399999999996</v>
      </c>
      <c r="Y12" s="47">
        <f>('COGS &amp; SG&amp;A'!Y46+'COGS &amp; SG&amp;A'!Y47)*1.21</f>
        <v>4996.09</v>
      </c>
      <c r="Z12" s="47">
        <f>('COGS &amp; SG&amp;A'!Z46+'COGS &amp; SG&amp;A'!Z47)*1.21</f>
        <v>5474.04</v>
      </c>
      <c r="AA12" s="47">
        <f>('COGS &amp; SG&amp;A'!AA46+'COGS &amp; SG&amp;A'!AA47)*1.21</f>
        <v>5951.99</v>
      </c>
      <c r="AB12" s="47">
        <f>('COGS &amp; SG&amp;A'!AB46+'COGS &amp; SG&amp;A'!AB47)*1.21</f>
        <v>6857.07</v>
      </c>
      <c r="AC12" s="47">
        <f>('COGS &amp; SG&amp;A'!AC46+'COGS &amp; SG&amp;A'!AC47)*1.21</f>
        <v>6857.07</v>
      </c>
      <c r="AD12" s="47">
        <f>('COGS &amp; SG&amp;A'!AD46+'COGS &amp; SG&amp;A'!AD47)*1.21</f>
        <v>7335.0199999999995</v>
      </c>
      <c r="AE12" s="47">
        <f>('COGS &amp; SG&amp;A'!AE46+'COGS &amp; SG&amp;A'!AE47)*1.21</f>
        <v>7819.0199999999995</v>
      </c>
      <c r="AF12" s="47">
        <f>('COGS &amp; SG&amp;A'!AF46+'COGS &amp; SG&amp;A'!AF47)*1.21</f>
        <v>7812.9699999999993</v>
      </c>
      <c r="AG12" s="47">
        <f>('COGS &amp; SG&amp;A'!AG46+'COGS &amp; SG&amp;A'!AG47)*1.21</f>
        <v>7812.9699999999993</v>
      </c>
      <c r="AH12" s="47">
        <f>('COGS &amp; SG&amp;A'!AH46+'COGS &amp; SG&amp;A'!AH47)*1.21</f>
        <v>8774.92</v>
      </c>
      <c r="AI12" s="47">
        <f>('COGS &amp; SG&amp;A'!AI46+'COGS &amp; SG&amp;A'!AI47)*1.21</f>
        <v>8768.869999999999</v>
      </c>
      <c r="AJ12" s="47">
        <f>('COGS &amp; SG&amp;A'!AJ46+'COGS &amp; SG&amp;A'!AJ47)*1.21</f>
        <v>8768.869999999999</v>
      </c>
      <c r="AK12" s="47">
        <f>('COGS &amp; SG&amp;A'!AK46+'COGS &amp; SG&amp;A'!AK47)*1.21</f>
        <v>9246.82</v>
      </c>
      <c r="AL12" s="47">
        <f>('COGS &amp; SG&amp;A'!AL46+'COGS &amp; SG&amp;A'!AL47)*1.21</f>
        <v>9724.77</v>
      </c>
      <c r="AM12" s="47">
        <f>('COGS &amp; SG&amp;A'!AM46+'COGS &amp; SG&amp;A'!AM47)*1.21</f>
        <v>10202.719999999999</v>
      </c>
      <c r="AN12" s="51">
        <f t="shared" si="0"/>
        <v>20679.504999999997</v>
      </c>
      <c r="AO12" s="51">
        <f t="shared" si="1"/>
        <v>50195.64</v>
      </c>
      <c r="AP12" s="51">
        <f t="shared" si="2"/>
        <v>99981.090000000011</v>
      </c>
    </row>
    <row r="13" spans="2:42" ht="15" customHeight="1">
      <c r="B13" s="45" t="s">
        <v>258</v>
      </c>
      <c r="E13" s="47">
        <f>'COGS &amp; SG&amp;A'!D35</f>
        <v>0</v>
      </c>
      <c r="F13" s="47">
        <f>'COGS &amp; SG&amp;A'!E35</f>
        <v>0</v>
      </c>
      <c r="G13" s="47">
        <f>'COGS &amp; SG&amp;A'!F35</f>
        <v>400</v>
      </c>
      <c r="H13" s="47">
        <f>'COGS &amp; SG&amp;A'!G35</f>
        <v>0</v>
      </c>
      <c r="I13" s="47">
        <f>'COGS &amp; SG&amp;A'!H35</f>
        <v>0</v>
      </c>
      <c r="J13" s="47">
        <f>'COGS &amp; SG&amp;A'!I35</f>
        <v>0</v>
      </c>
      <c r="K13" s="47">
        <f>'COGS &amp; SG&amp;A'!J35</f>
        <v>0</v>
      </c>
      <c r="L13" s="47">
        <f>'COGS &amp; SG&amp;A'!K35</f>
        <v>0</v>
      </c>
      <c r="M13" s="47">
        <f>'COGS &amp; SG&amp;A'!L35</f>
        <v>0</v>
      </c>
      <c r="N13" s="47">
        <f>'COGS &amp; SG&amp;A'!M35</f>
        <v>0</v>
      </c>
      <c r="O13" s="47">
        <f>'COGS &amp; SG&amp;A'!N35</f>
        <v>0</v>
      </c>
      <c r="P13" s="47">
        <f>'COGS &amp; SG&amp;A'!O35</f>
        <v>0</v>
      </c>
      <c r="Q13" s="47">
        <f>'COGS &amp; SG&amp;A'!P35</f>
        <v>0</v>
      </c>
      <c r="R13" s="47">
        <f>'COGS &amp; SG&amp;A'!Q35</f>
        <v>0</v>
      </c>
      <c r="S13" s="47">
        <f>'COGS &amp; SG&amp;A'!R35</f>
        <v>400</v>
      </c>
      <c r="T13" s="47">
        <f>'COGS &amp; SG&amp;A'!S35</f>
        <v>0</v>
      </c>
      <c r="U13" s="47">
        <f>'COGS &amp; SG&amp;A'!T35</f>
        <v>0</v>
      </c>
      <c r="V13" s="47">
        <f>'COGS &amp; SG&amp;A'!U35</f>
        <v>0</v>
      </c>
      <c r="W13" s="47">
        <f>'COGS &amp; SG&amp;A'!V35</f>
        <v>0</v>
      </c>
      <c r="X13" s="47">
        <f>'COGS &amp; SG&amp;A'!W35</f>
        <v>0</v>
      </c>
      <c r="Y13" s="47">
        <f>'COGS &amp; SG&amp;A'!X35</f>
        <v>0</v>
      </c>
      <c r="Z13" s="47">
        <f>'COGS &amp; SG&amp;A'!Y35</f>
        <v>0</v>
      </c>
      <c r="AA13" s="47">
        <f>'COGS &amp; SG&amp;A'!Z35</f>
        <v>0</v>
      </c>
      <c r="AB13" s="47">
        <f>'COGS &amp; SG&amp;A'!AA35</f>
        <v>0</v>
      </c>
      <c r="AC13" s="47">
        <f>'COGS &amp; SG&amp;A'!AB35</f>
        <v>0</v>
      </c>
      <c r="AD13" s="47">
        <f>'COGS &amp; SG&amp;A'!AC35</f>
        <v>0</v>
      </c>
      <c r="AE13" s="47">
        <f>'COGS &amp; SG&amp;A'!AD35</f>
        <v>400</v>
      </c>
      <c r="AF13" s="47">
        <f>'COGS &amp; SG&amp;A'!AE35</f>
        <v>0</v>
      </c>
      <c r="AG13" s="47">
        <f>'COGS &amp; SG&amp;A'!AF35</f>
        <v>0</v>
      </c>
      <c r="AH13" s="47">
        <f>'COGS &amp; SG&amp;A'!AG35</f>
        <v>0</v>
      </c>
      <c r="AI13" s="47">
        <f>'COGS &amp; SG&amp;A'!AH35</f>
        <v>0</v>
      </c>
      <c r="AJ13" s="47">
        <f>'COGS &amp; SG&amp;A'!AI35</f>
        <v>0</v>
      </c>
      <c r="AK13" s="47">
        <f>'COGS &amp; SG&amp;A'!AJ35</f>
        <v>0</v>
      </c>
      <c r="AL13" s="47">
        <f>'COGS &amp; SG&amp;A'!AK35</f>
        <v>0</v>
      </c>
      <c r="AM13" s="47">
        <f>'COGS &amp; SG&amp;A'!AL35</f>
        <v>0</v>
      </c>
      <c r="AN13" s="51">
        <f t="shared" si="0"/>
        <v>400</v>
      </c>
      <c r="AO13" s="51">
        <f t="shared" si="1"/>
        <v>400</v>
      </c>
      <c r="AP13" s="51">
        <f t="shared" si="2"/>
        <v>400</v>
      </c>
    </row>
    <row r="14" spans="2:42" ht="15" customHeight="1">
      <c r="B14" s="45" t="s">
        <v>259</v>
      </c>
      <c r="D14" s="47">
        <f>'COGS &amp; SG&amp;A'!D34</f>
        <v>4800</v>
      </c>
      <c r="E14" s="47">
        <f>'COGS &amp; SG&amp;A'!E34</f>
        <v>4800</v>
      </c>
      <c r="F14" s="47">
        <f>'COGS &amp; SG&amp;A'!F34</f>
        <v>4800</v>
      </c>
      <c r="G14" s="47">
        <f>'COGS &amp; SG&amp;A'!G34</f>
        <v>4800</v>
      </c>
      <c r="H14" s="47">
        <f>'COGS &amp; SG&amp;A'!H34</f>
        <v>4800</v>
      </c>
      <c r="I14" s="47">
        <f>'COGS &amp; SG&amp;A'!I34</f>
        <v>4800</v>
      </c>
      <c r="J14" s="47">
        <f>'COGS &amp; SG&amp;A'!J34</f>
        <v>4800</v>
      </c>
      <c r="K14" s="47">
        <f>'COGS &amp; SG&amp;A'!K34</f>
        <v>4800</v>
      </c>
      <c r="L14" s="47">
        <f>'COGS &amp; SG&amp;A'!L34</f>
        <v>4800</v>
      </c>
      <c r="M14" s="47">
        <f>'COGS &amp; SG&amp;A'!M34</f>
        <v>4800</v>
      </c>
      <c r="N14" s="47">
        <f>'COGS &amp; SG&amp;A'!N34</f>
        <v>4800</v>
      </c>
      <c r="O14" s="47">
        <f>'COGS &amp; SG&amp;A'!O34</f>
        <v>4800</v>
      </c>
      <c r="P14" s="47">
        <f>'COGS &amp; SG&amp;A'!P34</f>
        <v>12200</v>
      </c>
      <c r="Q14" s="47">
        <f>'COGS &amp; SG&amp;A'!Q34</f>
        <v>12200</v>
      </c>
      <c r="R14" s="47">
        <f>'COGS &amp; SG&amp;A'!R34</f>
        <v>12200</v>
      </c>
      <c r="S14" s="47">
        <f>'COGS &amp; SG&amp;A'!S34</f>
        <v>12200</v>
      </c>
      <c r="T14" s="47">
        <f>'COGS &amp; SG&amp;A'!T34</f>
        <v>12200</v>
      </c>
      <c r="U14" s="47">
        <f>'COGS &amp; SG&amp;A'!U34</f>
        <v>12200</v>
      </c>
      <c r="V14" s="47">
        <f>'COGS &amp; SG&amp;A'!V34</f>
        <v>12200</v>
      </c>
      <c r="W14" s="47">
        <f>'COGS &amp; SG&amp;A'!W34</f>
        <v>12200</v>
      </c>
      <c r="X14" s="47">
        <f>'COGS &amp; SG&amp;A'!X34</f>
        <v>12200</v>
      </c>
      <c r="Y14" s="47">
        <f>'COGS &amp; SG&amp;A'!Y34</f>
        <v>12200</v>
      </c>
      <c r="Z14" s="47">
        <f>'COGS &amp; SG&amp;A'!Z34</f>
        <v>12200</v>
      </c>
      <c r="AA14" s="47">
        <f>'COGS &amp; SG&amp;A'!AA34</f>
        <v>12200</v>
      </c>
      <c r="AB14" s="47">
        <f>'COGS &amp; SG&amp;A'!AB34</f>
        <v>17500</v>
      </c>
      <c r="AC14" s="47">
        <f>'COGS &amp; SG&amp;A'!AC34</f>
        <v>17500</v>
      </c>
      <c r="AD14" s="47">
        <f>'COGS &amp; SG&amp;A'!AD34</f>
        <v>17500</v>
      </c>
      <c r="AE14" s="47">
        <f>'COGS &amp; SG&amp;A'!AE34</f>
        <v>17500</v>
      </c>
      <c r="AF14" s="47">
        <f>'COGS &amp; SG&amp;A'!AF34</f>
        <v>17500</v>
      </c>
      <c r="AG14" s="47">
        <f>'COGS &amp; SG&amp;A'!AG34</f>
        <v>17500</v>
      </c>
      <c r="AH14" s="47">
        <f>'COGS &amp; SG&amp;A'!AH34</f>
        <v>17500</v>
      </c>
      <c r="AI14" s="47">
        <f>'COGS &amp; SG&amp;A'!AI34</f>
        <v>17500</v>
      </c>
      <c r="AJ14" s="47">
        <f>'COGS &amp; SG&amp;A'!AJ34</f>
        <v>17500</v>
      </c>
      <c r="AK14" s="47">
        <f>'COGS &amp; SG&amp;A'!AK34</f>
        <v>17500</v>
      </c>
      <c r="AL14" s="47">
        <f>'COGS &amp; SG&amp;A'!AL34</f>
        <v>17500</v>
      </c>
      <c r="AM14" s="47">
        <f>'COGS &amp; SG&amp;A'!AM34</f>
        <v>17500</v>
      </c>
      <c r="AN14" s="51">
        <f t="shared" si="0"/>
        <v>57600</v>
      </c>
      <c r="AO14" s="51">
        <f t="shared" si="1"/>
        <v>146400</v>
      </c>
      <c r="AP14" s="51">
        <f t="shared" si="2"/>
        <v>210000</v>
      </c>
    </row>
    <row r="15" spans="2:42" ht="15" customHeight="1">
      <c r="B15" s="45" t="s">
        <v>260</v>
      </c>
      <c r="D15" s="47">
        <f>('COGS &amp; SG&amp;A'!D32/365*$C$6)</f>
        <v>0.96090739726027397</v>
      </c>
      <c r="E15" s="47">
        <f>(('COGS &amp; SG&amp;A'!E32-'COGS &amp; SG&amp;A'!D32)/365*$C$6)</f>
        <v>0.56330301369863012</v>
      </c>
      <c r="F15" s="47">
        <f>(('COGS &amp; SG&amp;A'!F32-'COGS &amp; SG&amp;A'!E32)/365*$C$6)</f>
        <v>0.48045369863013671</v>
      </c>
      <c r="G15" s="47">
        <f>(('COGS &amp; SG&amp;A'!G32-'COGS &amp; SG&amp;A'!F32)/365*$C$6)</f>
        <v>0.77871123287671284</v>
      </c>
      <c r="H15" s="47">
        <f>(('COGS &amp; SG&amp;A'!H32-'COGS &amp; SG&amp;A'!G32)/365*$C$6)</f>
        <v>1.0438290410958899</v>
      </c>
      <c r="I15" s="47">
        <f>(('COGS &amp; SG&amp;A'!I32-'COGS &amp; SG&amp;A'!H32)/365*$C$6)</f>
        <v>1.2095276712328775</v>
      </c>
      <c r="J15" s="47">
        <f>(('COGS &amp; SG&amp;A'!J32-'COGS &amp; SG&amp;A'!I32)/365*$C$6)</f>
        <v>1.4249358904109588</v>
      </c>
      <c r="K15" s="47">
        <f>(('COGS &amp; SG&amp;A'!K32-'COGS &amp; SG&amp;A'!J32)/365*$C$6)</f>
        <v>1.9281238356164367</v>
      </c>
      <c r="L15" s="47">
        <f>(('COGS &amp; SG&amp;A'!L32-'COGS &amp; SG&amp;A'!K32)/365*$C$6)</f>
        <v>1.9772909589041097</v>
      </c>
      <c r="M15" s="47">
        <f>(('COGS &amp; SG&amp;A'!M32-'COGS &amp; SG&amp;A'!L32)/365*$C$6)</f>
        <v>2.2091967123287688</v>
      </c>
      <c r="N15" s="47">
        <f>(('COGS &amp; SG&amp;A'!N32-'COGS &amp; SG&amp;A'!M32)/365*$C$6)</f>
        <v>2.7437983561643811</v>
      </c>
      <c r="O15" s="47">
        <f>(('COGS &amp; SG&amp;A'!O32-'COGS &amp; SG&amp;A'!N32)/365*$C$6)</f>
        <v>2.7907232876712329</v>
      </c>
      <c r="P15" s="47">
        <f>(('COGS &amp; SG&amp;A'!P32-'COGS &amp; SG&amp;A'!O32)/365*$C$6)</f>
        <v>2.5791583561643816</v>
      </c>
      <c r="Q15" s="47">
        <f>(('COGS &amp; SG&amp;A'!Q32-'COGS &amp; SG&amp;A'!P32)/365*$C$6)</f>
        <v>2.8650378082191823</v>
      </c>
      <c r="R15" s="47">
        <f>(('COGS &amp; SG&amp;A'!R32-'COGS &amp; SG&amp;A'!Q32)/365*$C$6)</f>
        <v>3.416455890410961</v>
      </c>
      <c r="S15" s="47">
        <f>(('COGS &amp; SG&amp;A'!S32-'COGS &amp; SG&amp;A'!R32)/365*$C$6)</f>
        <v>4.9768602739725987</v>
      </c>
      <c r="T15" s="47">
        <f>(('COGS &amp; SG&amp;A'!T32-'COGS &amp; SG&amp;A'!S32)/365*$C$6)</f>
        <v>5.7336000000000054</v>
      </c>
      <c r="U15" s="47">
        <f>(('COGS &amp; SG&amp;A'!U32-'COGS &amp; SG&amp;A'!T32)/365*$C$6)</f>
        <v>5.5114619178082069</v>
      </c>
      <c r="V15" s="47">
        <f>(('COGS &amp; SG&amp;A'!V32-'COGS &amp; SG&amp;A'!U32)/365*$C$6)</f>
        <v>6.5974816438356259</v>
      </c>
      <c r="W15" s="47">
        <f>(('COGS &amp; SG&amp;A'!W32-'COGS &amp; SG&amp;A'!V32)/365*$C$6)</f>
        <v>6.6745150684931582</v>
      </c>
      <c r="X15" s="47">
        <f>(('COGS &amp; SG&amp;A'!X32-'COGS &amp; SG&amp;A'!W32)/365*$C$6)</f>
        <v>7.427730410958886</v>
      </c>
      <c r="Y15" s="47">
        <f>(('COGS &amp; SG&amp;A'!Y32-'COGS &amp; SG&amp;A'!X32)/365*$C$6)</f>
        <v>7.803935342465758</v>
      </c>
      <c r="Z15" s="47">
        <f>(('COGS &amp; SG&amp;A'!Z32-'COGS &amp; SG&amp;A'!Y32)/365*$C$6)</f>
        <v>8.7217906849315003</v>
      </c>
      <c r="AA15" s="47">
        <f>(('COGS &amp; SG&amp;A'!AA32-'COGS &amp; SG&amp;A'!Z32)/365*$C$6)</f>
        <v>10.153906849315064</v>
      </c>
      <c r="AB15" s="47">
        <f>(('COGS &amp; SG&amp;A'!AB32-'COGS &amp; SG&amp;A'!AA32)/365*$C$6)</f>
        <v>8.3897917808219429</v>
      </c>
      <c r="AC15" s="47">
        <f>(('COGS &amp; SG&amp;A'!AC32-'COGS &amp; SG&amp;A'!AB32)/365*$C$6)</f>
        <v>9.4589950684931576</v>
      </c>
      <c r="AD15" s="47">
        <f>(('COGS &amp; SG&amp;A'!AD32-'COGS &amp; SG&amp;A'!AC32)/365*$C$6)</f>
        <v>8.8837117808218871</v>
      </c>
      <c r="AE15" s="47">
        <f>(('COGS &amp; SG&amp;A'!AE32-'COGS &amp; SG&amp;A'!AD32)/365*$C$6)</f>
        <v>9.5864778082191702</v>
      </c>
      <c r="AF15" s="47">
        <f>(('COGS &amp; SG&amp;A'!AF32-'COGS &amp; SG&amp;A'!AE32)/365*$C$6)</f>
        <v>9.6271594520548245</v>
      </c>
      <c r="AG15" s="47">
        <f>(('COGS &amp; SG&amp;A'!AG32-'COGS &amp; SG&amp;A'!AF32)/365*$C$6)</f>
        <v>10.182101917808193</v>
      </c>
      <c r="AH15" s="47">
        <f>(('COGS &amp; SG&amp;A'!AH32-'COGS &amp; SG&amp;A'!AG32)/365*$C$6)</f>
        <v>10.010413150684922</v>
      </c>
      <c r="AI15" s="47">
        <f>(('COGS &amp; SG&amp;A'!AI32-'COGS &amp; SG&amp;A'!AH32)/365*$C$6)</f>
        <v>10.729995616438393</v>
      </c>
      <c r="AJ15" s="47">
        <f>(('COGS &amp; SG&amp;A'!AJ32-'COGS &amp; SG&amp;A'!AI32)/365*$C$6)</f>
        <v>11.483210958904063</v>
      </c>
      <c r="AK15" s="47">
        <f>(('COGS &amp; SG&amp;A'!AK32-'COGS &amp; SG&amp;A'!AJ32)/365*$C$6)</f>
        <v>12.038153424657564</v>
      </c>
      <c r="AL15" s="47">
        <f>(('COGS &amp; SG&amp;A'!AL32-'COGS &amp; SG&amp;A'!AK32)/365*$C$6)</f>
        <v>10.636145753424637</v>
      </c>
      <c r="AM15" s="47">
        <f>(('COGS &amp; SG&amp;A'!AM32-'COGS &amp; SG&amp;A'!AL32)/365*$C$6)</f>
        <v>11.33891178082192</v>
      </c>
      <c r="AN15" s="51">
        <f t="shared" si="0"/>
        <v>18.110801095890409</v>
      </c>
      <c r="AO15" s="51">
        <f t="shared" si="1"/>
        <v>72.461934246575325</v>
      </c>
      <c r="AP15" s="51">
        <f t="shared" si="2"/>
        <v>122.36506849315069</v>
      </c>
    </row>
    <row r="16" spans="2:42" ht="15" customHeight="1">
      <c r="B16" s="45" t="s">
        <v>261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-1271.0999999999999</v>
      </c>
      <c r="AH16" s="47">
        <v>-1277.45</v>
      </c>
      <c r="AI16" s="47">
        <v>-1283.8399999999999</v>
      </c>
      <c r="AJ16" s="47">
        <v>-1290.26</v>
      </c>
      <c r="AK16" s="47">
        <v>-1296.71</v>
      </c>
      <c r="AL16" s="47">
        <v>-1303.19</v>
      </c>
      <c r="AM16" s="47">
        <v>-1309.71</v>
      </c>
      <c r="AN16" s="51">
        <f t="shared" si="0"/>
        <v>0</v>
      </c>
      <c r="AO16" s="51">
        <f t="shared" si="1"/>
        <v>0</v>
      </c>
      <c r="AP16" s="51">
        <f t="shared" si="2"/>
        <v>-9032.260000000002</v>
      </c>
    </row>
    <row r="17" spans="2:42" ht="15" customHeight="1">
      <c r="B17" s="45" t="s">
        <v>262</v>
      </c>
      <c r="D17" s="47">
        <f t="shared" ref="D17:AM17" si="3">D11*0.21-D12*0.21</f>
        <v>67.290233472000011</v>
      </c>
      <c r="E17" s="47">
        <f t="shared" si="3"/>
        <v>-438.13983259199995</v>
      </c>
      <c r="F17" s="47">
        <f t="shared" si="3"/>
        <v>-116.980565856</v>
      </c>
      <c r="G17" s="47">
        <f t="shared" si="3"/>
        <v>-171.79497720000001</v>
      </c>
      <c r="H17" s="47">
        <f t="shared" si="3"/>
        <v>-38.251563503999989</v>
      </c>
      <c r="I17" s="47">
        <f t="shared" si="3"/>
        <v>-53.868915407999992</v>
      </c>
      <c r="J17" s="47">
        <f t="shared" si="3"/>
        <v>-124.78371259199992</v>
      </c>
      <c r="K17" s="47">
        <f t="shared" si="3"/>
        <v>19.460502599999984</v>
      </c>
      <c r="L17" s="47">
        <f t="shared" si="3"/>
        <v>11.718563472000085</v>
      </c>
      <c r="M17" s="47">
        <f t="shared" si="3"/>
        <v>76.505139480000139</v>
      </c>
      <c r="N17" s="47">
        <f t="shared" si="3"/>
        <v>101.16834974400012</v>
      </c>
      <c r="O17" s="47">
        <f t="shared" si="3"/>
        <v>197.54278790399997</v>
      </c>
      <c r="P17" s="47">
        <f t="shared" si="3"/>
        <v>249.46753339199995</v>
      </c>
      <c r="Q17" s="47">
        <f t="shared" si="3"/>
        <v>350.82001416000014</v>
      </c>
      <c r="R17" s="47">
        <f t="shared" si="3"/>
        <v>456.19707302400025</v>
      </c>
      <c r="S17" s="47">
        <f t="shared" si="3"/>
        <v>523.3022403839999</v>
      </c>
      <c r="T17" s="47">
        <f t="shared" si="3"/>
        <v>752.88098054399973</v>
      </c>
      <c r="U17" s="47">
        <f t="shared" si="3"/>
        <v>922.7432121600001</v>
      </c>
      <c r="V17" s="47">
        <f t="shared" si="3"/>
        <v>1032.0622361279998</v>
      </c>
      <c r="W17" s="47">
        <f t="shared" si="3"/>
        <v>1413.8249220479997</v>
      </c>
      <c r="X17" s="47">
        <f t="shared" si="3"/>
        <v>1747.981302144</v>
      </c>
      <c r="Y17" s="47">
        <f t="shared" si="3"/>
        <v>2107.647614688</v>
      </c>
      <c r="Z17" s="47">
        <f t="shared" si="3"/>
        <v>2553.5327811839998</v>
      </c>
      <c r="AA17" s="47">
        <f t="shared" si="3"/>
        <v>3136.6329234239997</v>
      </c>
      <c r="AB17" s="47">
        <f t="shared" si="3"/>
        <v>3285.4176210239993</v>
      </c>
      <c r="AC17" s="47">
        <f t="shared" si="3"/>
        <v>3692.5692471360007</v>
      </c>
      <c r="AD17" s="47">
        <f t="shared" si="3"/>
        <v>4034.4674240639997</v>
      </c>
      <c r="AE17" s="47">
        <f t="shared" si="3"/>
        <v>4409.0988036479994</v>
      </c>
      <c r="AF17" s="47">
        <f t="shared" si="3"/>
        <v>4817.3745681600003</v>
      </c>
      <c r="AG17" s="47">
        <f t="shared" si="3"/>
        <v>5223.8968393920004</v>
      </c>
      <c r="AH17" s="47">
        <f t="shared" si="3"/>
        <v>5463.1743935999993</v>
      </c>
      <c r="AI17" s="47">
        <f t="shared" si="3"/>
        <v>5939.7210143040002</v>
      </c>
      <c r="AJ17" s="47">
        <f t="shared" si="3"/>
        <v>6448.956929183998</v>
      </c>
      <c r="AK17" s="47">
        <f t="shared" si="3"/>
        <v>6857.3403507839967</v>
      </c>
      <c r="AL17" s="47">
        <f t="shared" si="3"/>
        <v>7163.0979456960013</v>
      </c>
      <c r="AM17" s="47">
        <f t="shared" si="3"/>
        <v>7502.859243263998</v>
      </c>
      <c r="AN17" s="51">
        <f t="shared" si="0"/>
        <v>-470.13399047999951</v>
      </c>
      <c r="AO17" s="51">
        <f t="shared" si="1"/>
        <v>15247.092833279999</v>
      </c>
      <c r="AP17" s="51">
        <f t="shared" si="2"/>
        <v>64837.974380255997</v>
      </c>
    </row>
    <row r="18" spans="2:42" ht="15" customHeight="1">
      <c r="B18" s="55" t="s">
        <v>263</v>
      </c>
      <c r="D18" s="51">
        <f t="shared" ref="D18:AM18" si="4">D10</f>
        <v>-7605.6820799999996</v>
      </c>
      <c r="E18" s="51">
        <f t="shared" si="4"/>
        <v>-6524.2811199999996</v>
      </c>
      <c r="F18" s="51">
        <f t="shared" si="4"/>
        <v>-5260.3721599999999</v>
      </c>
      <c r="G18" s="51">
        <f t="shared" si="4"/>
        <v>-5476.0920000000006</v>
      </c>
      <c r="H18" s="51">
        <f t="shared" si="4"/>
        <v>-4950.5374400000001</v>
      </c>
      <c r="I18" s="51">
        <f t="shared" si="4"/>
        <v>-5261.9988800000001</v>
      </c>
      <c r="J18" s="51">
        <f t="shared" si="4"/>
        <v>-5541.0811199999998</v>
      </c>
      <c r="K18" s="51">
        <f t="shared" si="4"/>
        <v>-4973.4139999999998</v>
      </c>
      <c r="L18" s="51">
        <f t="shared" si="4"/>
        <v>-5003.8820800000003</v>
      </c>
      <c r="M18" s="51">
        <f t="shared" si="4"/>
        <v>-4748.9171999999999</v>
      </c>
      <c r="N18" s="51">
        <f t="shared" si="4"/>
        <v>-4651.8561599999994</v>
      </c>
      <c r="O18" s="51">
        <f t="shared" si="4"/>
        <v>-4272.5785599999999</v>
      </c>
      <c r="P18" s="51">
        <f t="shared" si="4"/>
        <v>-11468.230879999999</v>
      </c>
      <c r="Q18" s="51">
        <f t="shared" si="4"/>
        <v>-11069.362399999998</v>
      </c>
      <c r="R18" s="51">
        <f t="shared" si="4"/>
        <v>-10654.655360000001</v>
      </c>
      <c r="S18" s="51">
        <f t="shared" si="4"/>
        <v>-10390.565760000001</v>
      </c>
      <c r="T18" s="51">
        <f t="shared" si="4"/>
        <v>-9487.0681600000007</v>
      </c>
      <c r="U18" s="51">
        <f t="shared" si="4"/>
        <v>-8818.5823999999993</v>
      </c>
      <c r="V18" s="51">
        <f t="shared" si="4"/>
        <v>-8388.3619199999994</v>
      </c>
      <c r="W18" s="51">
        <f t="shared" si="4"/>
        <v>-6885.9507199999989</v>
      </c>
      <c r="X18" s="51">
        <f t="shared" si="4"/>
        <v>-5570.8921599999994</v>
      </c>
      <c r="Y18" s="51">
        <f t="shared" si="4"/>
        <v>-4155.4403199999997</v>
      </c>
      <c r="Z18" s="51">
        <f t="shared" si="4"/>
        <v>-2400.6777600000005</v>
      </c>
      <c r="AA18" s="51">
        <f t="shared" si="4"/>
        <v>-127.5246560000016</v>
      </c>
      <c r="AB18" s="51">
        <f t="shared" si="4"/>
        <v>-4820.3753600000018</v>
      </c>
      <c r="AC18" s="51">
        <f t="shared" si="4"/>
        <v>-3218.0470399999977</v>
      </c>
      <c r="AD18" s="51">
        <f t="shared" si="4"/>
        <v>-1872.5209600000017</v>
      </c>
      <c r="AE18" s="51">
        <f t="shared" si="4"/>
        <v>-398.17472000000271</v>
      </c>
      <c r="AF18" s="51">
        <f t="shared" si="4"/>
        <v>989.7909600000005</v>
      </c>
      <c r="AG18" s="51">
        <f t="shared" si="4"/>
        <v>2356.0247520000007</v>
      </c>
      <c r="AH18" s="51">
        <f t="shared" si="4"/>
        <v>3162.8215999999984</v>
      </c>
      <c r="AI18" s="51">
        <f t="shared" si="4"/>
        <v>4763.3566240000009</v>
      </c>
      <c r="AJ18" s="51">
        <f t="shared" si="4"/>
        <v>6473.6619039999941</v>
      </c>
      <c r="AK18" s="51">
        <f t="shared" si="4"/>
        <v>7846.7615039999937</v>
      </c>
      <c r="AL18" s="51">
        <f t="shared" si="4"/>
        <v>8875.5633760000073</v>
      </c>
      <c r="AM18" s="51">
        <f t="shared" si="4"/>
        <v>10019.112383999998</v>
      </c>
      <c r="AN18" s="51">
        <f t="shared" si="0"/>
        <v>-64270.692799999997</v>
      </c>
      <c r="AO18" s="51">
        <f t="shared" si="1"/>
        <v>-89417.312496000013</v>
      </c>
      <c r="AP18" s="51">
        <f t="shared" si="2"/>
        <v>34177.975023999992</v>
      </c>
    </row>
    <row r="19" spans="2:42" ht="15" customHeight="1">
      <c r="B19" s="38" t="s">
        <v>264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</row>
    <row r="20" spans="2:42" ht="15" customHeight="1">
      <c r="B20" s="45" t="s">
        <v>265</v>
      </c>
      <c r="D20" s="47">
        <v>-5000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6">
        <v>-8000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6">
        <v>-15000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51">
        <f>SUM(D20:O20)</f>
        <v>-5000</v>
      </c>
      <c r="AO20" s="51">
        <f>SUM(P20:AA20)</f>
        <v>-8000</v>
      </c>
      <c r="AP20" s="51">
        <f>SUM(AB20:AM20)</f>
        <v>-15000</v>
      </c>
    </row>
    <row r="21" spans="2:42" ht="15" customHeight="1">
      <c r="B21" s="55" t="s">
        <v>266</v>
      </c>
      <c r="D21" s="51">
        <f t="shared" ref="D21:AM21" si="5">D20</f>
        <v>-5000</v>
      </c>
      <c r="E21" s="51">
        <f t="shared" si="5"/>
        <v>0</v>
      </c>
      <c r="F21" s="51">
        <f t="shared" si="5"/>
        <v>0</v>
      </c>
      <c r="G21" s="51">
        <f t="shared" si="5"/>
        <v>0</v>
      </c>
      <c r="H21" s="51">
        <f t="shared" si="5"/>
        <v>0</v>
      </c>
      <c r="I21" s="51">
        <f t="shared" si="5"/>
        <v>0</v>
      </c>
      <c r="J21" s="51">
        <f t="shared" si="5"/>
        <v>0</v>
      </c>
      <c r="K21" s="51">
        <f t="shared" si="5"/>
        <v>0</v>
      </c>
      <c r="L21" s="51">
        <f t="shared" si="5"/>
        <v>0</v>
      </c>
      <c r="M21" s="51">
        <f t="shared" si="5"/>
        <v>0</v>
      </c>
      <c r="N21" s="51">
        <f t="shared" si="5"/>
        <v>0</v>
      </c>
      <c r="O21" s="51">
        <f t="shared" si="5"/>
        <v>0</v>
      </c>
      <c r="P21" s="51">
        <f t="shared" si="5"/>
        <v>-8000</v>
      </c>
      <c r="Q21" s="51">
        <f t="shared" si="5"/>
        <v>0</v>
      </c>
      <c r="R21" s="51">
        <f t="shared" si="5"/>
        <v>0</v>
      </c>
      <c r="S21" s="51">
        <f t="shared" si="5"/>
        <v>0</v>
      </c>
      <c r="T21" s="51">
        <f t="shared" si="5"/>
        <v>0</v>
      </c>
      <c r="U21" s="51">
        <f t="shared" si="5"/>
        <v>0</v>
      </c>
      <c r="V21" s="51">
        <f t="shared" si="5"/>
        <v>0</v>
      </c>
      <c r="W21" s="51">
        <f t="shared" si="5"/>
        <v>0</v>
      </c>
      <c r="X21" s="51">
        <f t="shared" si="5"/>
        <v>0</v>
      </c>
      <c r="Y21" s="51">
        <f t="shared" si="5"/>
        <v>0</v>
      </c>
      <c r="Z21" s="51">
        <f t="shared" si="5"/>
        <v>0</v>
      </c>
      <c r="AA21" s="51">
        <f t="shared" si="5"/>
        <v>0</v>
      </c>
      <c r="AB21" s="51">
        <f t="shared" si="5"/>
        <v>-15000</v>
      </c>
      <c r="AC21" s="51">
        <f t="shared" si="5"/>
        <v>0</v>
      </c>
      <c r="AD21" s="51">
        <f t="shared" si="5"/>
        <v>0</v>
      </c>
      <c r="AE21" s="51">
        <f t="shared" si="5"/>
        <v>0</v>
      </c>
      <c r="AF21" s="51">
        <f t="shared" si="5"/>
        <v>0</v>
      </c>
      <c r="AG21" s="51">
        <f t="shared" si="5"/>
        <v>0</v>
      </c>
      <c r="AH21" s="51">
        <f t="shared" si="5"/>
        <v>0</v>
      </c>
      <c r="AI21" s="51">
        <f t="shared" si="5"/>
        <v>0</v>
      </c>
      <c r="AJ21" s="51">
        <f t="shared" si="5"/>
        <v>0</v>
      </c>
      <c r="AK21" s="51">
        <f t="shared" si="5"/>
        <v>0</v>
      </c>
      <c r="AL21" s="51">
        <f t="shared" si="5"/>
        <v>0</v>
      </c>
      <c r="AM21" s="51">
        <f t="shared" si="5"/>
        <v>0</v>
      </c>
      <c r="AN21" s="51">
        <f>SUM(D21:O21)</f>
        <v>-5000</v>
      </c>
      <c r="AO21" s="51">
        <f>SUM(P21:AA21)</f>
        <v>-8000</v>
      </c>
      <c r="AP21" s="51">
        <f>SUM(AB21:AM21)</f>
        <v>-15000</v>
      </c>
    </row>
    <row r="22" spans="2:42" ht="15" customHeight="1">
      <c r="B22" s="38" t="s">
        <v>267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</row>
    <row r="23" spans="2:42" ht="15" customHeight="1">
      <c r="B23" s="45" t="s">
        <v>268</v>
      </c>
      <c r="D23" s="47">
        <f>C7</f>
        <v>180000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51">
        <f>SUM(D23:O23)</f>
        <v>180000</v>
      </c>
      <c r="AO23" s="51">
        <f>SUM(P23:AA23)</f>
        <v>0</v>
      </c>
      <c r="AP23" s="51">
        <f>SUM(AB23:AM23)</f>
        <v>0</v>
      </c>
    </row>
    <row r="24" spans="2:42" ht="15" customHeight="1">
      <c r="B24" s="45" t="s">
        <v>269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6">
        <f>C8</f>
        <v>50000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51">
        <f>SUM(D24:O24)</f>
        <v>50000</v>
      </c>
      <c r="AO24" s="51">
        <f>SUM(P24:AA24)</f>
        <v>0</v>
      </c>
      <c r="AP24" s="51">
        <f>SUM(AB24:AM24)</f>
        <v>0</v>
      </c>
    </row>
    <row r="25" spans="2:42" ht="15" customHeight="1">
      <c r="B25" s="55" t="s">
        <v>270</v>
      </c>
      <c r="D25" s="51">
        <f t="shared" ref="D25:AM25" si="6">D23+D24+D16</f>
        <v>180000</v>
      </c>
      <c r="E25" s="51">
        <f t="shared" si="6"/>
        <v>0</v>
      </c>
      <c r="F25" s="51">
        <f t="shared" si="6"/>
        <v>0</v>
      </c>
      <c r="G25" s="51">
        <f t="shared" si="6"/>
        <v>0</v>
      </c>
      <c r="H25" s="51">
        <f t="shared" si="6"/>
        <v>0</v>
      </c>
      <c r="I25" s="51">
        <f t="shared" si="6"/>
        <v>50000</v>
      </c>
      <c r="J25" s="51">
        <f t="shared" si="6"/>
        <v>0</v>
      </c>
      <c r="K25" s="51">
        <f t="shared" si="6"/>
        <v>0</v>
      </c>
      <c r="L25" s="51">
        <f t="shared" si="6"/>
        <v>0</v>
      </c>
      <c r="M25" s="51">
        <f t="shared" si="6"/>
        <v>0</v>
      </c>
      <c r="N25" s="51">
        <f t="shared" si="6"/>
        <v>0</v>
      </c>
      <c r="O25" s="51">
        <f t="shared" si="6"/>
        <v>0</v>
      </c>
      <c r="P25" s="51">
        <f t="shared" si="6"/>
        <v>0</v>
      </c>
      <c r="Q25" s="51">
        <f t="shared" si="6"/>
        <v>0</v>
      </c>
      <c r="R25" s="51">
        <f t="shared" si="6"/>
        <v>0</v>
      </c>
      <c r="S25" s="51">
        <f t="shared" si="6"/>
        <v>0</v>
      </c>
      <c r="T25" s="51">
        <f t="shared" si="6"/>
        <v>0</v>
      </c>
      <c r="U25" s="51">
        <f t="shared" si="6"/>
        <v>0</v>
      </c>
      <c r="V25" s="51">
        <f t="shared" si="6"/>
        <v>0</v>
      </c>
      <c r="W25" s="51">
        <f t="shared" si="6"/>
        <v>0</v>
      </c>
      <c r="X25" s="51">
        <f t="shared" si="6"/>
        <v>0</v>
      </c>
      <c r="Y25" s="51">
        <f t="shared" si="6"/>
        <v>0</v>
      </c>
      <c r="Z25" s="51">
        <f t="shared" si="6"/>
        <v>0</v>
      </c>
      <c r="AA25" s="51">
        <f t="shared" si="6"/>
        <v>0</v>
      </c>
      <c r="AB25" s="51">
        <f t="shared" si="6"/>
        <v>0</v>
      </c>
      <c r="AC25" s="51">
        <f t="shared" si="6"/>
        <v>0</v>
      </c>
      <c r="AD25" s="51">
        <f t="shared" si="6"/>
        <v>0</v>
      </c>
      <c r="AE25" s="51">
        <f t="shared" si="6"/>
        <v>0</v>
      </c>
      <c r="AF25" s="51">
        <f t="shared" si="6"/>
        <v>0</v>
      </c>
      <c r="AG25" s="51">
        <f t="shared" si="6"/>
        <v>-1271.0999999999999</v>
      </c>
      <c r="AH25" s="51">
        <f t="shared" si="6"/>
        <v>-1277.45</v>
      </c>
      <c r="AI25" s="51">
        <f t="shared" si="6"/>
        <v>-1283.8399999999999</v>
      </c>
      <c r="AJ25" s="51">
        <f t="shared" si="6"/>
        <v>-1290.26</v>
      </c>
      <c r="AK25" s="51">
        <f t="shared" si="6"/>
        <v>-1296.71</v>
      </c>
      <c r="AL25" s="51">
        <f t="shared" si="6"/>
        <v>-1303.19</v>
      </c>
      <c r="AM25" s="51">
        <f t="shared" si="6"/>
        <v>-1309.71</v>
      </c>
      <c r="AN25" s="51">
        <f>SUM(D25:O25)</f>
        <v>230000</v>
      </c>
      <c r="AO25" s="51">
        <f>SUM(P25:AA25)</f>
        <v>0</v>
      </c>
      <c r="AP25" s="51">
        <f>SUM(AB25:AM25)</f>
        <v>-9032.260000000002</v>
      </c>
    </row>
    <row r="26" spans="2:42" ht="15" customHeight="1">
      <c r="B26" s="38" t="s">
        <v>271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</row>
    <row r="27" spans="2:42" ht="15" customHeight="1">
      <c r="B27" s="49" t="s">
        <v>272</v>
      </c>
      <c r="D27" s="51">
        <f t="shared" ref="D27:AM27" si="7">D18+D21+D25</f>
        <v>167394.31792</v>
      </c>
      <c r="E27" s="51">
        <f t="shared" si="7"/>
        <v>-6524.2811199999996</v>
      </c>
      <c r="F27" s="51">
        <f t="shared" si="7"/>
        <v>-5260.3721599999999</v>
      </c>
      <c r="G27" s="51">
        <f t="shared" si="7"/>
        <v>-5476.0920000000006</v>
      </c>
      <c r="H27" s="51">
        <f t="shared" si="7"/>
        <v>-4950.5374400000001</v>
      </c>
      <c r="I27" s="51">
        <f t="shared" si="7"/>
        <v>44738.001120000001</v>
      </c>
      <c r="J27" s="51">
        <f t="shared" si="7"/>
        <v>-5541.0811199999998</v>
      </c>
      <c r="K27" s="51">
        <f t="shared" si="7"/>
        <v>-4973.4139999999998</v>
      </c>
      <c r="L27" s="51">
        <f t="shared" si="7"/>
        <v>-5003.8820800000003</v>
      </c>
      <c r="M27" s="51">
        <f t="shared" si="7"/>
        <v>-4748.9171999999999</v>
      </c>
      <c r="N27" s="51">
        <f t="shared" si="7"/>
        <v>-4651.8561599999994</v>
      </c>
      <c r="O27" s="51">
        <f t="shared" si="7"/>
        <v>-4272.5785599999999</v>
      </c>
      <c r="P27" s="51">
        <f t="shared" si="7"/>
        <v>-19468.230879999999</v>
      </c>
      <c r="Q27" s="51">
        <f t="shared" si="7"/>
        <v>-11069.362399999998</v>
      </c>
      <c r="R27" s="51">
        <f t="shared" si="7"/>
        <v>-10654.655360000001</v>
      </c>
      <c r="S27" s="51">
        <f t="shared" si="7"/>
        <v>-10390.565760000001</v>
      </c>
      <c r="T27" s="51">
        <f t="shared" si="7"/>
        <v>-9487.0681600000007</v>
      </c>
      <c r="U27" s="51">
        <f t="shared" si="7"/>
        <v>-8818.5823999999993</v>
      </c>
      <c r="V27" s="51">
        <f t="shared" si="7"/>
        <v>-8388.3619199999994</v>
      </c>
      <c r="W27" s="51">
        <f t="shared" si="7"/>
        <v>-6885.9507199999989</v>
      </c>
      <c r="X27" s="51">
        <f t="shared" si="7"/>
        <v>-5570.8921599999994</v>
      </c>
      <c r="Y27" s="51">
        <f t="shared" si="7"/>
        <v>-4155.4403199999997</v>
      </c>
      <c r="Z27" s="51">
        <f t="shared" si="7"/>
        <v>-2400.6777600000005</v>
      </c>
      <c r="AA27" s="51">
        <f t="shared" si="7"/>
        <v>-127.5246560000016</v>
      </c>
      <c r="AB27" s="51">
        <f t="shared" si="7"/>
        <v>-19820.375360000002</v>
      </c>
      <c r="AC27" s="51">
        <f t="shared" si="7"/>
        <v>-3218.0470399999977</v>
      </c>
      <c r="AD27" s="51">
        <f t="shared" si="7"/>
        <v>-1872.5209600000017</v>
      </c>
      <c r="AE27" s="51">
        <f t="shared" si="7"/>
        <v>-398.17472000000271</v>
      </c>
      <c r="AF27" s="51">
        <f t="shared" si="7"/>
        <v>989.7909600000005</v>
      </c>
      <c r="AG27" s="51">
        <f t="shared" si="7"/>
        <v>1084.9247520000008</v>
      </c>
      <c r="AH27" s="51">
        <f t="shared" si="7"/>
        <v>1885.3715999999984</v>
      </c>
      <c r="AI27" s="51">
        <f t="shared" si="7"/>
        <v>3479.5166240000008</v>
      </c>
      <c r="AJ27" s="51">
        <f t="shared" si="7"/>
        <v>5183.4019039999939</v>
      </c>
      <c r="AK27" s="51">
        <f t="shared" si="7"/>
        <v>6550.0515039999937</v>
      </c>
      <c r="AL27" s="51">
        <f t="shared" si="7"/>
        <v>7572.3733760000068</v>
      </c>
      <c r="AM27" s="51">
        <f t="shared" si="7"/>
        <v>8709.4023839999973</v>
      </c>
      <c r="AN27" s="51">
        <f>SUM(D27:O27)</f>
        <v>160729.30720000001</v>
      </c>
      <c r="AO27" s="51">
        <f>SUM(P27:AA27)</f>
        <v>-97417.312496000013</v>
      </c>
      <c r="AP27" s="51">
        <f>SUM(AB27:AM27)</f>
        <v>10145.715023999988</v>
      </c>
    </row>
    <row r="28" spans="2:42" ht="15" customHeight="1">
      <c r="B28" s="45" t="s">
        <v>273</v>
      </c>
      <c r="D28" s="47">
        <v>0</v>
      </c>
      <c r="E28" s="47">
        <f t="shared" ref="E28:AM28" si="8">D29</f>
        <v>167394.31792</v>
      </c>
      <c r="F28" s="47">
        <f t="shared" si="8"/>
        <v>160870.0368</v>
      </c>
      <c r="G28" s="47">
        <f t="shared" si="8"/>
        <v>155609.66464</v>
      </c>
      <c r="H28" s="47">
        <f t="shared" si="8"/>
        <v>150133.57264</v>
      </c>
      <c r="I28" s="47">
        <f t="shared" si="8"/>
        <v>145183.03519999998</v>
      </c>
      <c r="J28" s="47">
        <f t="shared" si="8"/>
        <v>189921.03631999998</v>
      </c>
      <c r="K28" s="47">
        <f t="shared" si="8"/>
        <v>184379.9552</v>
      </c>
      <c r="L28" s="47">
        <f t="shared" si="8"/>
        <v>179406.54120000001</v>
      </c>
      <c r="M28" s="47">
        <f t="shared" si="8"/>
        <v>174402.65912</v>
      </c>
      <c r="N28" s="47">
        <f t="shared" si="8"/>
        <v>169653.74192</v>
      </c>
      <c r="O28" s="47">
        <f t="shared" si="8"/>
        <v>165001.88576</v>
      </c>
      <c r="P28" s="47">
        <f t="shared" si="8"/>
        <v>160729.30720000001</v>
      </c>
      <c r="Q28" s="47">
        <f t="shared" si="8"/>
        <v>141261.07632000002</v>
      </c>
      <c r="R28" s="47">
        <f t="shared" si="8"/>
        <v>130191.71392000002</v>
      </c>
      <c r="S28" s="47">
        <f t="shared" si="8"/>
        <v>119537.05856000002</v>
      </c>
      <c r="T28" s="47">
        <f t="shared" si="8"/>
        <v>109146.49280000002</v>
      </c>
      <c r="U28" s="47">
        <f t="shared" si="8"/>
        <v>99659.424640000027</v>
      </c>
      <c r="V28" s="47">
        <f t="shared" si="8"/>
        <v>90840.842240000027</v>
      </c>
      <c r="W28" s="47">
        <f t="shared" si="8"/>
        <v>82452.480320000031</v>
      </c>
      <c r="X28" s="47">
        <f t="shared" si="8"/>
        <v>75566.529600000038</v>
      </c>
      <c r="Y28" s="47">
        <f t="shared" si="8"/>
        <v>69995.637440000035</v>
      </c>
      <c r="Z28" s="47">
        <f t="shared" si="8"/>
        <v>65840.197120000041</v>
      </c>
      <c r="AA28" s="47">
        <f t="shared" si="8"/>
        <v>63439.519360000042</v>
      </c>
      <c r="AB28" s="47">
        <f t="shared" si="8"/>
        <v>63311.994704000041</v>
      </c>
      <c r="AC28" s="47">
        <f t="shared" si="8"/>
        <v>43491.619344000035</v>
      </c>
      <c r="AD28" s="47">
        <f t="shared" si="8"/>
        <v>40273.572304000038</v>
      </c>
      <c r="AE28" s="47">
        <f t="shared" si="8"/>
        <v>38401.051344000036</v>
      </c>
      <c r="AF28" s="47">
        <f t="shared" si="8"/>
        <v>38002.876624000033</v>
      </c>
      <c r="AG28" s="47">
        <f t="shared" si="8"/>
        <v>38992.667584000032</v>
      </c>
      <c r="AH28" s="47">
        <f t="shared" si="8"/>
        <v>40077.592336000031</v>
      </c>
      <c r="AI28" s="47">
        <f t="shared" si="8"/>
        <v>41962.963936000029</v>
      </c>
      <c r="AJ28" s="47">
        <f t="shared" si="8"/>
        <v>45442.480560000033</v>
      </c>
      <c r="AK28" s="47">
        <f t="shared" si="8"/>
        <v>50625.882464000024</v>
      </c>
      <c r="AL28" s="47">
        <f t="shared" si="8"/>
        <v>57175.933968000019</v>
      </c>
      <c r="AM28" s="47">
        <f t="shared" si="8"/>
        <v>64748.30734400003</v>
      </c>
    </row>
    <row r="29" spans="2:42" ht="15" customHeight="1">
      <c r="B29" s="55" t="s">
        <v>274</v>
      </c>
      <c r="D29" s="62">
        <f t="shared" ref="D29:AM29" si="9">D28+D27</f>
        <v>167394.31792</v>
      </c>
      <c r="E29" s="62">
        <f t="shared" si="9"/>
        <v>160870.0368</v>
      </c>
      <c r="F29" s="62">
        <f t="shared" si="9"/>
        <v>155609.66464</v>
      </c>
      <c r="G29" s="62">
        <f t="shared" si="9"/>
        <v>150133.57264</v>
      </c>
      <c r="H29" s="62">
        <f t="shared" si="9"/>
        <v>145183.03519999998</v>
      </c>
      <c r="I29" s="62">
        <f t="shared" si="9"/>
        <v>189921.03631999998</v>
      </c>
      <c r="J29" s="62">
        <f t="shared" si="9"/>
        <v>184379.9552</v>
      </c>
      <c r="K29" s="62">
        <f t="shared" si="9"/>
        <v>179406.54120000001</v>
      </c>
      <c r="L29" s="62">
        <f t="shared" si="9"/>
        <v>174402.65912</v>
      </c>
      <c r="M29" s="62">
        <f t="shared" si="9"/>
        <v>169653.74192</v>
      </c>
      <c r="N29" s="62">
        <f t="shared" si="9"/>
        <v>165001.88576</v>
      </c>
      <c r="O29" s="62">
        <f t="shared" si="9"/>
        <v>160729.30720000001</v>
      </c>
      <c r="P29" s="62">
        <f t="shared" si="9"/>
        <v>141261.07632000002</v>
      </c>
      <c r="Q29" s="62">
        <f t="shared" si="9"/>
        <v>130191.71392000002</v>
      </c>
      <c r="R29" s="62">
        <f t="shared" si="9"/>
        <v>119537.05856000002</v>
      </c>
      <c r="S29" s="62">
        <f t="shared" si="9"/>
        <v>109146.49280000002</v>
      </c>
      <c r="T29" s="62">
        <f t="shared" si="9"/>
        <v>99659.424640000027</v>
      </c>
      <c r="U29" s="62">
        <f t="shared" si="9"/>
        <v>90840.842240000027</v>
      </c>
      <c r="V29" s="62">
        <f t="shared" si="9"/>
        <v>82452.480320000031</v>
      </c>
      <c r="W29" s="62">
        <f t="shared" si="9"/>
        <v>75566.529600000038</v>
      </c>
      <c r="X29" s="62">
        <f t="shared" si="9"/>
        <v>69995.637440000035</v>
      </c>
      <c r="Y29" s="62">
        <f t="shared" si="9"/>
        <v>65840.197120000041</v>
      </c>
      <c r="Z29" s="62">
        <f t="shared" si="9"/>
        <v>63439.519360000042</v>
      </c>
      <c r="AA29" s="62">
        <f t="shared" si="9"/>
        <v>63311.994704000041</v>
      </c>
      <c r="AB29" s="62">
        <f t="shared" si="9"/>
        <v>43491.619344000035</v>
      </c>
      <c r="AC29" s="62">
        <f t="shared" si="9"/>
        <v>40273.572304000038</v>
      </c>
      <c r="AD29" s="62">
        <f t="shared" si="9"/>
        <v>38401.051344000036</v>
      </c>
      <c r="AE29" s="62">
        <f t="shared" si="9"/>
        <v>38002.876624000033</v>
      </c>
      <c r="AF29" s="62">
        <f t="shared" si="9"/>
        <v>38992.667584000032</v>
      </c>
      <c r="AG29" s="62">
        <f t="shared" si="9"/>
        <v>40077.592336000031</v>
      </c>
      <c r="AH29" s="62">
        <f t="shared" si="9"/>
        <v>41962.963936000029</v>
      </c>
      <c r="AI29" s="62">
        <f t="shared" si="9"/>
        <v>45442.480560000033</v>
      </c>
      <c r="AJ29" s="62">
        <f t="shared" si="9"/>
        <v>50625.882464000024</v>
      </c>
      <c r="AK29" s="62">
        <f t="shared" si="9"/>
        <v>57175.933968000019</v>
      </c>
      <c r="AL29" s="62">
        <f t="shared" si="9"/>
        <v>64748.30734400003</v>
      </c>
      <c r="AM29" s="62">
        <f t="shared" si="9"/>
        <v>73457.709728000031</v>
      </c>
      <c r="AN29" s="51">
        <f>O29</f>
        <v>160729.30720000001</v>
      </c>
      <c r="AO29" s="51">
        <f>AA29</f>
        <v>63311.994704000041</v>
      </c>
      <c r="AP29" s="51">
        <f>AM29</f>
        <v>73457.709728000031</v>
      </c>
    </row>
    <row r="30" spans="2:42" ht="15" customHeight="1">
      <c r="B30" s="45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</row>
  </sheetData>
  <mergeCells count="3">
    <mergeCell ref="B1:AP1"/>
    <mergeCell ref="B4:AP4"/>
    <mergeCell ref="B9:AP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53"/>
  <sheetViews>
    <sheetView topLeftCell="A5" zoomScaleNormal="100" workbookViewId="0">
      <selection activeCell="D17" sqref="D17"/>
    </sheetView>
  </sheetViews>
  <sheetFormatPr baseColWidth="10" defaultColWidth="8.6640625" defaultRowHeight="15"/>
  <cols>
    <col min="1" max="1" width="22.1640625" style="72" customWidth="1"/>
    <col min="2" max="2" width="21.5" style="72" customWidth="1"/>
    <col min="3" max="3" width="24.33203125" style="72" customWidth="1"/>
    <col min="4" max="4" width="14.5" style="72" customWidth="1"/>
    <col min="5" max="5" width="15.1640625" style="72" customWidth="1"/>
    <col min="6" max="6" width="31" style="72" customWidth="1"/>
  </cols>
  <sheetData>
    <row r="1" spans="1:6" s="72" customFormat="1" ht="15" customHeight="1">
      <c r="A1" s="73" t="s">
        <v>275</v>
      </c>
      <c r="B1" s="73" t="s">
        <v>276</v>
      </c>
      <c r="C1" s="73" t="s">
        <v>277</v>
      </c>
      <c r="D1" s="73" t="s">
        <v>278</v>
      </c>
      <c r="E1" s="73" t="s">
        <v>279</v>
      </c>
      <c r="F1" s="73" t="s">
        <v>280</v>
      </c>
    </row>
    <row r="2" spans="1:6" ht="15" customHeight="1">
      <c r="A2" s="73" t="s">
        <v>281</v>
      </c>
      <c r="B2" s="73" t="s">
        <v>282</v>
      </c>
      <c r="C2" s="74"/>
      <c r="D2" s="74"/>
      <c r="E2" s="74"/>
      <c r="F2" s="74"/>
    </row>
    <row r="3" spans="1:6" ht="15" customHeight="1">
      <c r="A3" s="74">
        <v>1</v>
      </c>
      <c r="B3" s="75">
        <v>46174</v>
      </c>
      <c r="C3" s="76">
        <v>250</v>
      </c>
      <c r="D3" s="77">
        <v>250</v>
      </c>
      <c r="E3" s="77">
        <v>0</v>
      </c>
      <c r="F3" s="77">
        <v>50000</v>
      </c>
    </row>
    <row r="4" spans="1:6" ht="15" customHeight="1">
      <c r="A4" s="74">
        <v>2</v>
      </c>
      <c r="B4" s="75">
        <v>46204</v>
      </c>
      <c r="C4" s="77">
        <v>250</v>
      </c>
      <c r="D4" s="77">
        <v>250</v>
      </c>
      <c r="E4" s="77">
        <v>0</v>
      </c>
      <c r="F4" s="77">
        <v>50000</v>
      </c>
    </row>
    <row r="5" spans="1:6" ht="15" customHeight="1">
      <c r="A5" s="74">
        <v>3</v>
      </c>
      <c r="B5" s="75">
        <v>46235</v>
      </c>
      <c r="C5" s="77">
        <v>250</v>
      </c>
      <c r="D5" s="77">
        <v>250</v>
      </c>
      <c r="E5" s="77">
        <v>0</v>
      </c>
      <c r="F5" s="77">
        <v>50000</v>
      </c>
    </row>
    <row r="6" spans="1:6" ht="15" customHeight="1">
      <c r="A6" s="74">
        <v>4</v>
      </c>
      <c r="B6" s="75" t="s">
        <v>283</v>
      </c>
      <c r="C6" s="77">
        <v>250</v>
      </c>
      <c r="D6" s="77">
        <v>250</v>
      </c>
      <c r="E6" s="77">
        <v>0</v>
      </c>
      <c r="F6" s="77">
        <v>50000</v>
      </c>
    </row>
    <row r="7" spans="1:6" ht="15" customHeight="1">
      <c r="A7" s="74">
        <v>5</v>
      </c>
      <c r="B7" s="75">
        <v>46296</v>
      </c>
      <c r="C7" s="77">
        <v>250</v>
      </c>
      <c r="D7" s="77">
        <v>250</v>
      </c>
      <c r="E7" s="77">
        <v>0</v>
      </c>
      <c r="F7" s="77">
        <v>50000</v>
      </c>
    </row>
    <row r="8" spans="1:6" ht="15" customHeight="1">
      <c r="A8" s="74">
        <v>6</v>
      </c>
      <c r="B8" s="75">
        <v>46327</v>
      </c>
      <c r="C8" s="77">
        <v>250</v>
      </c>
      <c r="D8" s="77">
        <v>250</v>
      </c>
      <c r="E8" s="77">
        <v>0</v>
      </c>
      <c r="F8" s="77">
        <v>50000</v>
      </c>
    </row>
    <row r="9" spans="1:6" ht="15" customHeight="1">
      <c r="A9" s="74">
        <v>7</v>
      </c>
      <c r="B9" s="74" t="s">
        <v>284</v>
      </c>
      <c r="C9" s="76">
        <v>250</v>
      </c>
      <c r="D9" s="77">
        <v>250</v>
      </c>
      <c r="E9" s="77">
        <v>0</v>
      </c>
      <c r="F9" s="76">
        <v>50000</v>
      </c>
    </row>
    <row r="10" spans="1:6" ht="15" customHeight="1">
      <c r="A10" s="73" t="s">
        <v>285</v>
      </c>
      <c r="B10" s="73" t="s">
        <v>282</v>
      </c>
      <c r="C10" s="74"/>
      <c r="D10" s="74"/>
      <c r="E10" s="74"/>
      <c r="F10" s="74"/>
    </row>
    <row r="11" spans="1:6" ht="15" customHeight="1">
      <c r="A11" s="75">
        <v>43313</v>
      </c>
      <c r="B11" s="74" t="s">
        <v>286</v>
      </c>
      <c r="C11" s="77">
        <v>250</v>
      </c>
      <c r="D11" s="77">
        <v>250</v>
      </c>
      <c r="E11" s="77">
        <v>0</v>
      </c>
      <c r="F11" s="77">
        <v>50000</v>
      </c>
    </row>
    <row r="12" spans="1:6" ht="15" customHeight="1">
      <c r="A12" s="74">
        <v>19</v>
      </c>
      <c r="B12" s="74" t="s">
        <v>287</v>
      </c>
      <c r="C12" s="76">
        <v>250</v>
      </c>
      <c r="D12" s="77">
        <v>250</v>
      </c>
      <c r="E12" s="77">
        <v>0</v>
      </c>
      <c r="F12" s="76">
        <v>50000</v>
      </c>
    </row>
    <row r="13" spans="1:6" ht="15" customHeight="1">
      <c r="A13" s="74" t="s">
        <v>288</v>
      </c>
      <c r="B13" s="74" t="s">
        <v>289</v>
      </c>
      <c r="C13" s="77">
        <v>250</v>
      </c>
      <c r="D13" s="77">
        <v>250</v>
      </c>
      <c r="E13" s="77">
        <v>0</v>
      </c>
      <c r="F13" s="77">
        <v>50000</v>
      </c>
    </row>
    <row r="14" spans="1:6" ht="15" customHeight="1">
      <c r="A14" s="74">
        <v>24</v>
      </c>
      <c r="B14" s="74" t="s">
        <v>290</v>
      </c>
      <c r="C14" s="76">
        <v>250</v>
      </c>
      <c r="D14" s="77">
        <v>250</v>
      </c>
      <c r="E14" s="77">
        <v>0</v>
      </c>
      <c r="F14" s="76">
        <v>50000</v>
      </c>
    </row>
    <row r="15" spans="1:6" ht="15" customHeight="1">
      <c r="A15" s="73" t="s">
        <v>291</v>
      </c>
      <c r="B15" s="73" t="s">
        <v>292</v>
      </c>
      <c r="C15" s="74"/>
      <c r="D15" s="74"/>
      <c r="E15" s="74"/>
      <c r="F15" s="74"/>
    </row>
    <row r="16" spans="1:6" ht="15" customHeight="1">
      <c r="A16" s="74">
        <v>25</v>
      </c>
      <c r="B16" s="75">
        <v>46905</v>
      </c>
      <c r="C16" s="76">
        <v>1521.1</v>
      </c>
      <c r="D16" s="77">
        <v>250</v>
      </c>
      <c r="E16" s="77">
        <v>1271.0999999999999</v>
      </c>
      <c r="F16" s="77">
        <v>48728.9</v>
      </c>
    </row>
    <row r="17" spans="1:6" ht="15" customHeight="1">
      <c r="A17" s="74">
        <v>26</v>
      </c>
      <c r="B17" s="75">
        <v>46935</v>
      </c>
      <c r="C17" s="77">
        <v>1521.1</v>
      </c>
      <c r="D17" s="77">
        <v>243.64</v>
      </c>
      <c r="E17" s="77">
        <v>1277.45</v>
      </c>
      <c r="F17" s="77">
        <v>47451.45</v>
      </c>
    </row>
    <row r="18" spans="1:6" ht="15" customHeight="1">
      <c r="A18" s="74">
        <v>27</v>
      </c>
      <c r="B18" s="75">
        <v>46966</v>
      </c>
      <c r="C18" s="77">
        <v>1521.1</v>
      </c>
      <c r="D18" s="77">
        <v>237.26</v>
      </c>
      <c r="E18" s="77">
        <v>1283.8399999999999</v>
      </c>
      <c r="F18" s="77">
        <v>46167.61</v>
      </c>
    </row>
    <row r="19" spans="1:6" ht="15" customHeight="1">
      <c r="A19" s="74">
        <v>28</v>
      </c>
      <c r="B19" s="74" t="s">
        <v>293</v>
      </c>
      <c r="C19" s="77">
        <v>1521.1</v>
      </c>
      <c r="D19" s="77">
        <v>230.84</v>
      </c>
      <c r="E19" s="77">
        <v>1290.26</v>
      </c>
      <c r="F19" s="77">
        <v>44877.35</v>
      </c>
    </row>
    <row r="20" spans="1:6" ht="15" customHeight="1">
      <c r="A20" s="74">
        <v>29</v>
      </c>
      <c r="B20" s="75">
        <v>47027</v>
      </c>
      <c r="C20" s="77">
        <v>1521.1</v>
      </c>
      <c r="D20" s="77">
        <v>224.39</v>
      </c>
      <c r="E20" s="77">
        <v>1296.71</v>
      </c>
      <c r="F20" s="77">
        <v>43580.639999999999</v>
      </c>
    </row>
    <row r="21" spans="1:6" ht="15" customHeight="1">
      <c r="A21" s="74">
        <v>30</v>
      </c>
      <c r="B21" s="75">
        <v>47058</v>
      </c>
      <c r="C21" s="77">
        <v>1521.1</v>
      </c>
      <c r="D21" s="77">
        <v>217.9</v>
      </c>
      <c r="E21" s="77">
        <v>1303.19</v>
      </c>
      <c r="F21" s="77">
        <v>42277.45</v>
      </c>
    </row>
    <row r="22" spans="1:6" ht="15" customHeight="1">
      <c r="A22" s="74">
        <v>31</v>
      </c>
      <c r="B22" s="74" t="s">
        <v>294</v>
      </c>
      <c r="C22" s="76">
        <v>1521.1</v>
      </c>
      <c r="D22" s="77">
        <v>211.39</v>
      </c>
      <c r="E22" s="77">
        <v>1309.71</v>
      </c>
      <c r="F22" s="76">
        <v>40967.74</v>
      </c>
    </row>
    <row r="23" spans="1:6" ht="15" customHeight="1">
      <c r="A23" s="74">
        <v>32</v>
      </c>
      <c r="B23" s="74" t="s">
        <v>295</v>
      </c>
      <c r="C23" s="77">
        <v>1521.1</v>
      </c>
      <c r="D23" s="77">
        <v>204.84</v>
      </c>
      <c r="E23" s="77">
        <v>1316.26</v>
      </c>
      <c r="F23" s="77">
        <v>39651.480000000003</v>
      </c>
    </row>
    <row r="24" spans="1:6" ht="15" customHeight="1">
      <c r="A24" s="74">
        <v>33</v>
      </c>
      <c r="B24" s="75">
        <v>47150</v>
      </c>
      <c r="C24" s="77">
        <v>1521.1</v>
      </c>
      <c r="D24" s="77">
        <v>198.26</v>
      </c>
      <c r="E24" s="77">
        <v>1322.84</v>
      </c>
      <c r="F24" s="77">
        <v>38328.639999999999</v>
      </c>
    </row>
    <row r="25" spans="1:6" ht="15" customHeight="1">
      <c r="A25" s="74">
        <v>34</v>
      </c>
      <c r="B25" s="75">
        <v>47178</v>
      </c>
      <c r="C25" s="77">
        <v>1521.1</v>
      </c>
      <c r="D25" s="77">
        <v>191.64</v>
      </c>
      <c r="E25" s="77">
        <v>1329.45</v>
      </c>
      <c r="F25" s="77">
        <v>36999.19</v>
      </c>
    </row>
    <row r="26" spans="1:6" ht="15" customHeight="1">
      <c r="A26" s="74">
        <v>35</v>
      </c>
      <c r="B26" s="75">
        <v>47209</v>
      </c>
      <c r="C26" s="77">
        <v>1521.1</v>
      </c>
      <c r="D26" s="77">
        <v>185</v>
      </c>
      <c r="E26" s="77">
        <v>1336.1</v>
      </c>
      <c r="F26" s="77">
        <v>35663.089999999997</v>
      </c>
    </row>
    <row r="27" spans="1:6" ht="15" customHeight="1">
      <c r="A27" s="74">
        <v>36</v>
      </c>
      <c r="B27" s="74" t="s">
        <v>296</v>
      </c>
      <c r="C27" s="76">
        <v>1521.1</v>
      </c>
      <c r="D27" s="77">
        <v>178.32</v>
      </c>
      <c r="E27" s="77">
        <v>1342.78</v>
      </c>
      <c r="F27" s="76">
        <v>34320.31</v>
      </c>
    </row>
    <row r="28" spans="1:6" ht="15" customHeight="1">
      <c r="A28" s="73" t="s">
        <v>297</v>
      </c>
      <c r="B28" s="73" t="s">
        <v>292</v>
      </c>
      <c r="C28" s="74"/>
      <c r="D28" s="74"/>
      <c r="E28" s="74"/>
      <c r="F28" s="74"/>
    </row>
    <row r="29" spans="1:6" ht="15" customHeight="1">
      <c r="A29" s="74">
        <v>37</v>
      </c>
      <c r="B29" s="75">
        <v>47270</v>
      </c>
      <c r="C29" s="77">
        <v>1521.1</v>
      </c>
      <c r="D29" s="77">
        <v>171.6</v>
      </c>
      <c r="E29" s="77">
        <v>1349.5</v>
      </c>
      <c r="F29" s="77">
        <v>32970.81</v>
      </c>
    </row>
    <row r="30" spans="1:6" ht="15" customHeight="1">
      <c r="A30" s="74">
        <v>38</v>
      </c>
      <c r="B30" s="75">
        <v>47300</v>
      </c>
      <c r="C30" s="77">
        <v>1521.1</v>
      </c>
      <c r="D30" s="77">
        <v>164.85</v>
      </c>
      <c r="E30" s="77">
        <v>1356.24</v>
      </c>
      <c r="F30" s="77">
        <v>31614.57</v>
      </c>
    </row>
    <row r="31" spans="1:6" ht="15" customHeight="1">
      <c r="A31" s="74">
        <v>39</v>
      </c>
      <c r="B31" s="75">
        <v>47331</v>
      </c>
      <c r="C31" s="77">
        <v>1521.1</v>
      </c>
      <c r="D31" s="77">
        <v>158.07</v>
      </c>
      <c r="E31" s="77">
        <v>1363.02</v>
      </c>
      <c r="F31" s="77">
        <v>30251.54</v>
      </c>
    </row>
    <row r="32" spans="1:6" ht="15" customHeight="1">
      <c r="A32" s="74">
        <v>40</v>
      </c>
      <c r="B32" s="74" t="s">
        <v>298</v>
      </c>
      <c r="C32" s="77">
        <v>1521.1</v>
      </c>
      <c r="D32" s="77">
        <v>151.26</v>
      </c>
      <c r="E32" s="77">
        <v>1369.84</v>
      </c>
      <c r="F32" s="77">
        <v>28881.7</v>
      </c>
    </row>
    <row r="33" spans="1:6" ht="15" customHeight="1">
      <c r="A33" s="74">
        <v>41</v>
      </c>
      <c r="B33" s="75">
        <v>47392</v>
      </c>
      <c r="C33" s="77">
        <v>1521.1</v>
      </c>
      <c r="D33" s="77">
        <v>144.41</v>
      </c>
      <c r="E33" s="77">
        <v>1376.69</v>
      </c>
      <c r="F33" s="77">
        <v>27505.02</v>
      </c>
    </row>
    <row r="34" spans="1:6" ht="15" customHeight="1">
      <c r="A34" s="74">
        <v>42</v>
      </c>
      <c r="B34" s="75">
        <v>47423</v>
      </c>
      <c r="C34" s="77">
        <v>1521.1</v>
      </c>
      <c r="D34" s="77">
        <v>137.53</v>
      </c>
      <c r="E34" s="77">
        <v>1383.57</v>
      </c>
      <c r="F34" s="77">
        <v>26121.439999999999</v>
      </c>
    </row>
    <row r="35" spans="1:6" ht="15" customHeight="1">
      <c r="A35" s="74">
        <v>43</v>
      </c>
      <c r="B35" s="74" t="s">
        <v>299</v>
      </c>
      <c r="C35" s="76">
        <v>1521.1</v>
      </c>
      <c r="D35" s="77">
        <v>130.61000000000001</v>
      </c>
      <c r="E35" s="77">
        <v>1390.49</v>
      </c>
      <c r="F35" s="76">
        <v>24730.95</v>
      </c>
    </row>
    <row r="36" spans="1:6" ht="15" customHeight="1">
      <c r="A36" s="74">
        <v>44</v>
      </c>
      <c r="B36" s="74" t="s">
        <v>300</v>
      </c>
      <c r="C36" s="77">
        <v>1521.1</v>
      </c>
      <c r="D36" s="77">
        <v>123.65</v>
      </c>
      <c r="E36" s="77">
        <v>1397.44</v>
      </c>
      <c r="F36" s="77">
        <v>23333.51</v>
      </c>
    </row>
    <row r="37" spans="1:6" ht="15" customHeight="1">
      <c r="A37" s="74">
        <v>45</v>
      </c>
      <c r="B37" s="75">
        <v>10990</v>
      </c>
      <c r="C37" s="77">
        <v>1521.1</v>
      </c>
      <c r="D37" s="77">
        <v>116.67</v>
      </c>
      <c r="E37" s="77">
        <v>1404.43</v>
      </c>
      <c r="F37" s="77">
        <v>21929.08</v>
      </c>
    </row>
    <row r="38" spans="1:6" ht="15" customHeight="1">
      <c r="A38" s="74">
        <v>46</v>
      </c>
      <c r="B38" s="75">
        <v>11018</v>
      </c>
      <c r="C38" s="77">
        <v>1521.1</v>
      </c>
      <c r="D38" s="77">
        <v>109.65</v>
      </c>
      <c r="E38" s="77">
        <v>1411.45</v>
      </c>
      <c r="F38" s="77">
        <v>20517.63</v>
      </c>
    </row>
    <row r="39" spans="1:6" ht="15" customHeight="1">
      <c r="A39" s="74">
        <v>47</v>
      </c>
      <c r="B39" s="75">
        <v>11049</v>
      </c>
      <c r="C39" s="77">
        <v>1521.1</v>
      </c>
      <c r="D39" s="77">
        <v>102.59</v>
      </c>
      <c r="E39" s="77">
        <v>1418.51</v>
      </c>
      <c r="F39" s="77">
        <v>19099.12</v>
      </c>
    </row>
    <row r="40" spans="1:6" ht="15" customHeight="1">
      <c r="A40" s="74">
        <v>48</v>
      </c>
      <c r="B40" s="74" t="s">
        <v>301</v>
      </c>
      <c r="C40" s="76">
        <v>1521.1</v>
      </c>
      <c r="D40" s="77">
        <v>95.5</v>
      </c>
      <c r="E40" s="77">
        <v>1425.6</v>
      </c>
      <c r="F40" s="76">
        <v>17673.52</v>
      </c>
    </row>
    <row r="41" spans="1:6" ht="15" customHeight="1">
      <c r="A41" s="73" t="s">
        <v>302</v>
      </c>
      <c r="B41" s="73" t="s">
        <v>292</v>
      </c>
      <c r="C41" s="74"/>
      <c r="D41" s="74"/>
      <c r="E41" s="74"/>
      <c r="F41" s="74"/>
    </row>
    <row r="42" spans="1:6" ht="15" customHeight="1">
      <c r="A42" s="74">
        <v>49</v>
      </c>
      <c r="B42" s="75">
        <v>11110</v>
      </c>
      <c r="C42" s="77">
        <v>1521.1</v>
      </c>
      <c r="D42" s="77">
        <v>88.37</v>
      </c>
      <c r="E42" s="77">
        <v>1432.73</v>
      </c>
      <c r="F42" s="77">
        <v>16240.79</v>
      </c>
    </row>
    <row r="43" spans="1:6" ht="15" customHeight="1">
      <c r="A43" s="74">
        <v>50</v>
      </c>
      <c r="B43" s="75">
        <v>11140</v>
      </c>
      <c r="C43" s="77">
        <v>1521.1</v>
      </c>
      <c r="D43" s="77">
        <v>81.2</v>
      </c>
      <c r="E43" s="77">
        <v>1439.89</v>
      </c>
      <c r="F43" s="77">
        <v>14800.9</v>
      </c>
    </row>
    <row r="44" spans="1:6" ht="15" customHeight="1">
      <c r="A44" s="74">
        <v>51</v>
      </c>
      <c r="B44" s="75">
        <v>11171</v>
      </c>
      <c r="C44" s="77">
        <v>1521.1</v>
      </c>
      <c r="D44" s="77">
        <v>74</v>
      </c>
      <c r="E44" s="77">
        <v>1447.09</v>
      </c>
      <c r="F44" s="77">
        <v>13353.81</v>
      </c>
    </row>
    <row r="45" spans="1:6" ht="15" customHeight="1">
      <c r="A45" s="74">
        <v>52</v>
      </c>
      <c r="B45" s="74" t="s">
        <v>303</v>
      </c>
      <c r="C45" s="77">
        <v>1521.1</v>
      </c>
      <c r="D45" s="77">
        <v>66.77</v>
      </c>
      <c r="E45" s="77">
        <v>1454.33</v>
      </c>
      <c r="F45" s="77">
        <v>11899.48</v>
      </c>
    </row>
    <row r="46" spans="1:6" ht="15" customHeight="1">
      <c r="A46" s="74">
        <v>53</v>
      </c>
      <c r="B46" s="75">
        <v>11232</v>
      </c>
      <c r="C46" s="77">
        <v>1521.1</v>
      </c>
      <c r="D46" s="77">
        <v>59.5</v>
      </c>
      <c r="E46" s="77">
        <v>1461.6</v>
      </c>
      <c r="F46" s="77">
        <v>10437.879999999999</v>
      </c>
    </row>
    <row r="47" spans="1:6" ht="15" customHeight="1">
      <c r="A47" s="74">
        <v>54</v>
      </c>
      <c r="B47" s="75">
        <v>11263</v>
      </c>
      <c r="C47" s="77">
        <v>1521.1</v>
      </c>
      <c r="D47" s="77">
        <v>52.19</v>
      </c>
      <c r="E47" s="77">
        <v>1468.91</v>
      </c>
      <c r="F47" s="77">
        <v>8968.9699999999993</v>
      </c>
    </row>
    <row r="48" spans="1:6" ht="15" customHeight="1">
      <c r="A48" s="74">
        <v>55</v>
      </c>
      <c r="B48" s="74" t="s">
        <v>304</v>
      </c>
      <c r="C48" s="76">
        <v>1521.1</v>
      </c>
      <c r="D48" s="77">
        <v>44.84</v>
      </c>
      <c r="E48" s="77">
        <v>1476.25</v>
      </c>
      <c r="F48" s="76">
        <v>7492.72</v>
      </c>
    </row>
    <row r="49" spans="1:6" ht="15" customHeight="1">
      <c r="A49" s="74">
        <v>56</v>
      </c>
      <c r="B49" s="74" t="s">
        <v>305</v>
      </c>
      <c r="C49" s="77">
        <v>1521.1</v>
      </c>
      <c r="D49" s="77">
        <v>37.46</v>
      </c>
      <c r="E49" s="77">
        <v>1483.63</v>
      </c>
      <c r="F49" s="77">
        <v>6009.09</v>
      </c>
    </row>
    <row r="50" spans="1:6" ht="15" customHeight="1">
      <c r="A50" s="74">
        <v>57</v>
      </c>
      <c r="B50" s="75">
        <v>11355</v>
      </c>
      <c r="C50" s="77">
        <v>1521.1</v>
      </c>
      <c r="D50" s="77">
        <v>30.05</v>
      </c>
      <c r="E50" s="77">
        <v>1491.05</v>
      </c>
      <c r="F50" s="77">
        <v>4518.04</v>
      </c>
    </row>
    <row r="51" spans="1:6" ht="15" customHeight="1">
      <c r="A51" s="74">
        <v>58</v>
      </c>
      <c r="B51" s="75">
        <v>11383</v>
      </c>
      <c r="C51" s="77">
        <v>1521.1</v>
      </c>
      <c r="D51" s="77">
        <v>22.59</v>
      </c>
      <c r="E51" s="77">
        <v>1498.51</v>
      </c>
      <c r="F51" s="77">
        <v>3019.53</v>
      </c>
    </row>
    <row r="52" spans="1:6" ht="15" customHeight="1">
      <c r="A52" s="74">
        <v>59</v>
      </c>
      <c r="B52" s="75">
        <v>11414</v>
      </c>
      <c r="C52" s="77">
        <v>1521.1</v>
      </c>
      <c r="D52" s="77">
        <v>15.1</v>
      </c>
      <c r="E52" s="77">
        <v>1506</v>
      </c>
      <c r="F52" s="77">
        <v>1513.53</v>
      </c>
    </row>
    <row r="53" spans="1:6" ht="15" customHeight="1">
      <c r="A53" s="74">
        <v>60</v>
      </c>
      <c r="B53" s="74" t="s">
        <v>306</v>
      </c>
      <c r="C53" s="76">
        <v>1521.1</v>
      </c>
      <c r="D53" s="77">
        <v>7.57</v>
      </c>
      <c r="E53" s="77">
        <v>1513.53</v>
      </c>
      <c r="F53" s="7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8C00"/>
  </sheetPr>
  <dimension ref="B1:F18"/>
  <sheetViews>
    <sheetView showGridLines="0" zoomScaleNormal="100" workbookViewId="0">
      <selection activeCell="F24" sqref="F24"/>
    </sheetView>
  </sheetViews>
  <sheetFormatPr baseColWidth="10" defaultColWidth="8.6640625" defaultRowHeight="15"/>
  <cols>
    <col min="1" max="1" width="3" customWidth="1"/>
    <col min="2" max="2" width="35" customWidth="1"/>
    <col min="3" max="6" width="20" customWidth="1"/>
  </cols>
  <sheetData>
    <row r="1" spans="2:6" ht="30" customHeight="1">
      <c r="B1" s="96" t="s">
        <v>307</v>
      </c>
      <c r="C1" s="96"/>
      <c r="D1" s="96"/>
      <c r="E1" s="96"/>
      <c r="F1" s="96"/>
    </row>
    <row r="3" spans="2:6" ht="19.5" customHeight="1">
      <c r="B3" s="78" t="s">
        <v>308</v>
      </c>
      <c r="C3" s="79" t="s">
        <v>32</v>
      </c>
      <c r="D3" s="79" t="s">
        <v>33</v>
      </c>
      <c r="E3" s="79" t="s">
        <v>34</v>
      </c>
      <c r="F3" s="79" t="s">
        <v>309</v>
      </c>
    </row>
    <row r="4" spans="2:6" ht="18" customHeight="1">
      <c r="B4" s="94" t="s">
        <v>310</v>
      </c>
      <c r="C4" s="94"/>
      <c r="D4" s="94"/>
      <c r="E4" s="94"/>
      <c r="F4" s="94"/>
    </row>
    <row r="5" spans="2:6" ht="18" customHeight="1">
      <c r="B5" s="45" t="s">
        <v>311</v>
      </c>
      <c r="C5" s="80">
        <f>'MODELO NORMAL'!AN39</f>
        <v>16635.940000000002</v>
      </c>
      <c r="D5" s="80">
        <f>'MODELO NORMAL'!AO39</f>
        <v>110969.70999999999</v>
      </c>
      <c r="E5" s="80">
        <f>'MODELO NORMAL'!AP39</f>
        <v>367575.42599999998</v>
      </c>
      <c r="F5" s="81">
        <f>(E5/C5)^(1/2)-1</f>
        <v>3.7005595817987809</v>
      </c>
    </row>
    <row r="6" spans="2:6" ht="18" customHeight="1">
      <c r="B6" s="45" t="s">
        <v>312</v>
      </c>
      <c r="C6" s="80">
        <f>'P&amp;L'!AN6</f>
        <v>16303.2212</v>
      </c>
      <c r="D6" s="80">
        <f>'P&amp;L'!AO6</f>
        <v>108750.3158</v>
      </c>
      <c r="E6" s="80">
        <f>'P&amp;L'!AP6</f>
        <v>360223.91748</v>
      </c>
      <c r="F6" s="81">
        <f>(E6/C6)^(1/2)-1</f>
        <v>3.7005595817987809</v>
      </c>
    </row>
    <row r="7" spans="2:6" ht="18" customHeight="1">
      <c r="B7" s="94" t="s">
        <v>313</v>
      </c>
      <c r="C7" s="94"/>
      <c r="D7" s="94"/>
      <c r="E7" s="94"/>
      <c r="F7" s="94"/>
    </row>
    <row r="8" spans="2:6" ht="18" customHeight="1">
      <c r="B8" s="45" t="s">
        <v>314</v>
      </c>
      <c r="C8" s="80">
        <f>'MODELO NORMAL'!O27</f>
        <v>24</v>
      </c>
      <c r="D8" s="80">
        <f>'MODELO NORMAL'!AA27</f>
        <v>129</v>
      </c>
      <c r="E8" s="80">
        <f>'MODELO NORMAL'!AM27</f>
        <v>284</v>
      </c>
      <c r="F8" s="81">
        <f>(E8/C8)^(1/2)-1</f>
        <v>2.4399612400917157</v>
      </c>
    </row>
    <row r="9" spans="2:6" ht="18" customHeight="1">
      <c r="B9" s="45" t="s">
        <v>315</v>
      </c>
      <c r="C9" s="80">
        <f>'MODELO NORMAL'!O32</f>
        <v>746</v>
      </c>
      <c r="D9" s="80">
        <f>'MODELO NORMAL'!AA32</f>
        <v>3607</v>
      </c>
      <c r="E9" s="80">
        <f>'MODELO NORMAL'!AM32</f>
        <v>8746</v>
      </c>
      <c r="F9" s="81">
        <f>(E9/C9)^(1/2)-1</f>
        <v>2.4240123524619959</v>
      </c>
    </row>
    <row r="10" spans="2:6" ht="18" customHeight="1">
      <c r="B10" s="94" t="s">
        <v>316</v>
      </c>
      <c r="C10" s="94"/>
      <c r="D10" s="94"/>
      <c r="E10" s="94"/>
      <c r="F10" s="94"/>
    </row>
    <row r="11" spans="2:6" ht="18" customHeight="1">
      <c r="B11" s="45" t="s">
        <v>317</v>
      </c>
      <c r="C11" s="80">
        <f>'P&amp;L'!AN17</f>
        <v>-62520.692799999997</v>
      </c>
      <c r="D11" s="80">
        <f>'P&amp;L'!AO17</f>
        <v>-86395.699200000003</v>
      </c>
      <c r="E11" s="80">
        <f>'P&amp;L'!AP17</f>
        <v>45167.156159999991</v>
      </c>
      <c r="F11" s="81" t="s">
        <v>185</v>
      </c>
    </row>
    <row r="12" spans="2:6" ht="18" customHeight="1">
      <c r="B12" s="45" t="s">
        <v>318</v>
      </c>
      <c r="C12" s="80">
        <f>'P&amp;L'!AN21</f>
        <v>-64270.692799999997</v>
      </c>
      <c r="D12" s="80">
        <f>'P&amp;L'!AO21</f>
        <v>-89417.312496000013</v>
      </c>
      <c r="E12" s="80">
        <f>'P&amp;L'!AP21</f>
        <v>34177.975023999992</v>
      </c>
      <c r="F12" s="81" t="s">
        <v>185</v>
      </c>
    </row>
    <row r="13" spans="2:6" ht="18" customHeight="1">
      <c r="B13" s="94" t="s">
        <v>319</v>
      </c>
      <c r="C13" s="94"/>
      <c r="D13" s="94"/>
      <c r="E13" s="94"/>
      <c r="F13" s="94"/>
    </row>
    <row r="14" spans="2:6" ht="18" customHeight="1">
      <c r="B14" s="45" t="s">
        <v>320</v>
      </c>
      <c r="C14" s="80">
        <f>SUM('COGS &amp; SG&amp;A'!D32:O32)</f>
        <v>1062.9139999999998</v>
      </c>
      <c r="D14" s="80">
        <f>SUM('COGS &amp; SG&amp;A'!P32:AA32)</f>
        <v>7262.0150000000003</v>
      </c>
      <c r="E14" s="80">
        <f>SUM('COGS &amp; SG&amp;A'!AB32:AM32)</f>
        <v>22427.761319999994</v>
      </c>
      <c r="F14" s="81">
        <f>(E14/C14)^(1/2)-1</f>
        <v>3.5935018872603024</v>
      </c>
    </row>
    <row r="15" spans="2:6" ht="18" customHeight="1">
      <c r="B15" s="45" t="s">
        <v>321</v>
      </c>
      <c r="C15" s="80">
        <f>SUM('COGS &amp; SG&amp;A'!D48:O48)</f>
        <v>77761</v>
      </c>
      <c r="D15" s="80">
        <f>SUM('COGS &amp; SG&amp;A'!P48:AA48)</f>
        <v>187884</v>
      </c>
      <c r="E15" s="80">
        <f>SUM('COGS &amp; SG&amp;A'!AB48:AM48)</f>
        <v>292629</v>
      </c>
      <c r="F15" s="81">
        <f>(E15/C15)^(1/2)-1</f>
        <v>0.93989294287785152</v>
      </c>
    </row>
    <row r="16" spans="2:6" ht="18" customHeight="1">
      <c r="B16" s="45" t="s">
        <v>322</v>
      </c>
      <c r="C16" s="80">
        <f>'COGS &amp; SG&amp;A'!AN34</f>
        <v>57600</v>
      </c>
      <c r="D16" s="80">
        <f>'COGS &amp; SG&amp;A'!AO34</f>
        <v>146400</v>
      </c>
      <c r="E16" s="80">
        <f>'COGS &amp; SG&amp;A'!AP34</f>
        <v>210000</v>
      </c>
      <c r="F16" s="81">
        <f>(E16/C16)^(1/2)-1</f>
        <v>0.90940653956493334</v>
      </c>
    </row>
    <row r="17" spans="2:6" ht="18" customHeight="1">
      <c r="B17" s="94" t="s">
        <v>323</v>
      </c>
      <c r="C17" s="94"/>
      <c r="D17" s="94"/>
      <c r="E17" s="94"/>
      <c r="F17" s="94"/>
    </row>
    <row r="18" spans="2:6" ht="18" customHeight="1">
      <c r="B18" s="45" t="s">
        <v>324</v>
      </c>
      <c r="C18" s="80">
        <f>Cashflow!O29</f>
        <v>160729.30720000001</v>
      </c>
      <c r="D18" s="80">
        <f>Cashflow!AA29</f>
        <v>63311.994704000041</v>
      </c>
      <c r="E18" s="80">
        <f>Cashflow!AM29</f>
        <v>73457.709728000031</v>
      </c>
      <c r="F18" s="81" t="s">
        <v>185</v>
      </c>
    </row>
  </sheetData>
  <mergeCells count="6">
    <mergeCell ref="B17:F17"/>
    <mergeCell ref="B1:F1"/>
    <mergeCell ref="B4:F4"/>
    <mergeCell ref="B7:F7"/>
    <mergeCell ref="B10:F10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I18"/>
  <sheetViews>
    <sheetView zoomScaleNormal="100" workbookViewId="0">
      <selection activeCell="B5" sqref="B5"/>
    </sheetView>
  </sheetViews>
  <sheetFormatPr baseColWidth="10" defaultColWidth="8.6640625" defaultRowHeight="15"/>
  <cols>
    <col min="1" max="1" width="45" customWidth="1"/>
    <col min="2" max="4" width="16" customWidth="1"/>
    <col min="5" max="5" width="3" customWidth="1"/>
    <col min="6" max="6" width="45" customWidth="1"/>
    <col min="7" max="9" width="16" customWidth="1"/>
  </cols>
  <sheetData>
    <row r="1" spans="1:9" ht="27.75" customHeight="1">
      <c r="A1" s="97" t="s">
        <v>325</v>
      </c>
      <c r="B1" s="97"/>
      <c r="C1" s="97"/>
      <c r="D1" s="97"/>
      <c r="E1" s="97"/>
      <c r="F1" s="97"/>
      <c r="G1" s="97"/>
      <c r="H1" s="97"/>
      <c r="I1" s="97"/>
    </row>
    <row r="2" spans="1:9" ht="21.75" customHeight="1">
      <c r="A2" s="24" t="s">
        <v>326</v>
      </c>
      <c r="B2" s="24" t="s">
        <v>327</v>
      </c>
      <c r="C2" s="24" t="s">
        <v>328</v>
      </c>
      <c r="D2" s="24" t="s">
        <v>329</v>
      </c>
      <c r="F2" s="24" t="s">
        <v>330</v>
      </c>
      <c r="G2" s="24" t="s">
        <v>327</v>
      </c>
      <c r="H2" s="24" t="s">
        <v>328</v>
      </c>
      <c r="I2" s="24" t="s">
        <v>329</v>
      </c>
    </row>
    <row r="3" spans="1:9" ht="15" customHeight="1">
      <c r="A3" s="82" t="s">
        <v>331</v>
      </c>
      <c r="F3" s="82" t="s">
        <v>332</v>
      </c>
    </row>
    <row r="4" spans="1:9" ht="15" customHeight="1">
      <c r="A4" s="83" t="s">
        <v>333</v>
      </c>
      <c r="B4" s="84">
        <f>-Cashflow!AN20</f>
        <v>5000</v>
      </c>
      <c r="C4" s="84">
        <f>B4+(-Cashflow!AO20)</f>
        <v>13000</v>
      </c>
      <c r="D4" s="84">
        <f>C4+(-Cashflow!AP20)</f>
        <v>28000</v>
      </c>
      <c r="F4" s="83" t="s">
        <v>334</v>
      </c>
      <c r="G4" s="84">
        <f>Cashflow!C7</f>
        <v>180000</v>
      </c>
      <c r="H4" s="84">
        <f>G4</f>
        <v>180000</v>
      </c>
      <c r="I4" s="84">
        <f>H4</f>
        <v>180000</v>
      </c>
    </row>
    <row r="5" spans="1:9" ht="15" customHeight="1">
      <c r="A5" s="85" t="s">
        <v>335</v>
      </c>
      <c r="B5" s="86">
        <f>B4</f>
        <v>5000</v>
      </c>
      <c r="C5" s="86">
        <f>C4</f>
        <v>13000</v>
      </c>
      <c r="D5" s="86">
        <f>D4</f>
        <v>28000</v>
      </c>
      <c r="F5" s="83" t="s">
        <v>336</v>
      </c>
      <c r="G5" s="87">
        <v>0</v>
      </c>
      <c r="H5" s="84">
        <f>'P&amp;L'!AN21</f>
        <v>-64270.692799999997</v>
      </c>
      <c r="I5" s="84">
        <f>H5+'P&amp;L'!AO21</f>
        <v>-153688.00529600002</v>
      </c>
    </row>
    <row r="6" spans="1:9" ht="15" customHeight="1">
      <c r="A6" s="82" t="s">
        <v>337</v>
      </c>
      <c r="F6" s="83" t="s">
        <v>338</v>
      </c>
      <c r="G6" s="84">
        <f>'P&amp;L'!AN21</f>
        <v>-64270.692799999997</v>
      </c>
      <c r="H6" s="84">
        <f>'P&amp;L'!AO21</f>
        <v>-89417.312496000013</v>
      </c>
      <c r="I6" s="84">
        <f>'P&amp;L'!AP21</f>
        <v>34177.975023999992</v>
      </c>
    </row>
    <row r="7" spans="1:9" ht="15" customHeight="1">
      <c r="A7" s="83" t="s">
        <v>339</v>
      </c>
      <c r="B7" s="84">
        <f>Cashflow!O29</f>
        <v>160729.30720000001</v>
      </c>
      <c r="C7" s="84">
        <f>Cashflow!AA29</f>
        <v>63311.994704000041</v>
      </c>
      <c r="D7" s="84">
        <f>Cashflow!AM29</f>
        <v>73457.709728000031</v>
      </c>
      <c r="F7" s="85" t="s">
        <v>340</v>
      </c>
      <c r="G7" s="86">
        <f>SUM(G4:G6)</f>
        <v>115729.30720000001</v>
      </c>
      <c r="H7" s="86">
        <f>SUM(H4:H6)</f>
        <v>26311.994703999997</v>
      </c>
      <c r="I7" s="86">
        <f>SUM(I4:I6)</f>
        <v>60489.969727999975</v>
      </c>
    </row>
    <row r="8" spans="1:9" ht="15" customHeight="1">
      <c r="A8" s="85" t="s">
        <v>341</v>
      </c>
      <c r="B8" s="86">
        <f>B7</f>
        <v>160729.30720000001</v>
      </c>
      <c r="C8" s="86">
        <f>C7</f>
        <v>63311.994704000041</v>
      </c>
      <c r="D8" s="86">
        <f>D7</f>
        <v>73457.709728000031</v>
      </c>
      <c r="F8" s="82" t="s">
        <v>342</v>
      </c>
    </row>
    <row r="9" spans="1:9" ht="15" customHeight="1">
      <c r="A9" s="88" t="s">
        <v>343</v>
      </c>
      <c r="B9" s="89">
        <f>B5+B8</f>
        <v>165729.30720000001</v>
      </c>
      <c r="C9" s="89">
        <f>C5+C8</f>
        <v>76311.994704000041</v>
      </c>
      <c r="D9" s="89">
        <f>D5+D8</f>
        <v>101457.70972800003</v>
      </c>
      <c r="F9" s="83" t="s">
        <v>344</v>
      </c>
      <c r="G9" s="84">
        <f>Cashflow!C8+SUM(Cashflow!D16:O16)</f>
        <v>50000</v>
      </c>
      <c r="H9" s="84">
        <f>G9+SUM(Cashflow!P16:AA16)</f>
        <v>50000</v>
      </c>
      <c r="I9" s="84">
        <f>H9+SUM(Cashflow!AB16:AM16)</f>
        <v>40967.74</v>
      </c>
    </row>
    <row r="10" spans="1:9" ht="15" customHeight="1">
      <c r="F10" s="85" t="s">
        <v>345</v>
      </c>
      <c r="G10" s="86">
        <f>G9</f>
        <v>50000</v>
      </c>
      <c r="H10" s="86">
        <f>H9</f>
        <v>50000</v>
      </c>
      <c r="I10" s="86">
        <f>I9</f>
        <v>40967.74</v>
      </c>
    </row>
    <row r="11" spans="1:9" ht="15" customHeight="1">
      <c r="A11" s="90" t="s">
        <v>346</v>
      </c>
      <c r="B11" s="91">
        <f>B9-G11</f>
        <v>0</v>
      </c>
      <c r="C11" s="91">
        <f>C9-H11</f>
        <v>0</v>
      </c>
      <c r="D11" s="91">
        <f>D9-I11</f>
        <v>0</v>
      </c>
      <c r="F11" s="88" t="s">
        <v>347</v>
      </c>
      <c r="G11" s="89">
        <f>G7+G10</f>
        <v>165729.30720000001</v>
      </c>
      <c r="H11" s="89">
        <f>H7+H10</f>
        <v>76311.994703999997</v>
      </c>
      <c r="I11" s="89">
        <f>I7+I10</f>
        <v>101457.70972799997</v>
      </c>
    </row>
    <row r="12" spans="1:9" ht="15" customHeight="1"/>
    <row r="13" spans="1:9" ht="15" customHeight="1">
      <c r="A13" s="92" t="s">
        <v>348</v>
      </c>
    </row>
    <row r="14" spans="1:9" ht="15" customHeight="1">
      <c r="A14" s="98" t="s">
        <v>349</v>
      </c>
      <c r="B14" s="98"/>
      <c r="C14" s="98"/>
      <c r="D14" s="98"/>
      <c r="E14" s="98"/>
      <c r="F14" s="98"/>
      <c r="G14" s="98"/>
      <c r="H14" s="98"/>
      <c r="I14" s="98"/>
    </row>
    <row r="15" spans="1:9" ht="15" customHeight="1">
      <c r="A15" s="98" t="s">
        <v>350</v>
      </c>
      <c r="B15" s="98"/>
      <c r="C15" s="98"/>
      <c r="D15" s="98"/>
      <c r="E15" s="98"/>
      <c r="F15" s="98"/>
      <c r="G15" s="98"/>
      <c r="H15" s="98"/>
      <c r="I15" s="98"/>
    </row>
    <row r="16" spans="1:9" ht="15" customHeight="1">
      <c r="A16" s="98" t="s">
        <v>351</v>
      </c>
      <c r="B16" s="98"/>
      <c r="C16" s="98"/>
      <c r="D16" s="98"/>
      <c r="E16" s="98"/>
      <c r="F16" s="98"/>
      <c r="G16" s="98"/>
      <c r="H16" s="98"/>
      <c r="I16" s="98"/>
    </row>
    <row r="17" spans="1:9" ht="15" customHeight="1">
      <c r="A17" s="98" t="s">
        <v>352</v>
      </c>
      <c r="B17" s="98"/>
      <c r="C17" s="98"/>
      <c r="D17" s="98"/>
      <c r="E17" s="98"/>
      <c r="F17" s="98"/>
      <c r="G17" s="98"/>
      <c r="H17" s="98"/>
      <c r="I17" s="98"/>
    </row>
    <row r="18" spans="1:9" ht="15" customHeight="1">
      <c r="A18" s="98" t="s">
        <v>353</v>
      </c>
      <c r="B18" s="98"/>
      <c r="C18" s="98"/>
      <c r="D18" s="98"/>
      <c r="E18" s="98"/>
      <c r="F18" s="98"/>
      <c r="G18" s="98"/>
      <c r="H18" s="98"/>
      <c r="I18" s="98"/>
    </row>
  </sheetData>
  <mergeCells count="6">
    <mergeCell ref="A18:I18"/>
    <mergeCell ref="A1:I1"/>
    <mergeCell ref="A14:I14"/>
    <mergeCell ref="A15:I15"/>
    <mergeCell ref="A16:I16"/>
    <mergeCell ref="A17:I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6"/>
  <sheetViews>
    <sheetView zoomScaleNormal="100" workbookViewId="0"/>
  </sheetViews>
  <sheetFormatPr baseColWidth="10" defaultColWidth="8.6640625" defaultRowHeight="15"/>
  <cols>
    <col min="1" max="1" width="36.5" customWidth="1"/>
  </cols>
  <sheetData>
    <row r="1" spans="1:1" ht="15" customHeight="1">
      <c r="A1" s="60"/>
    </row>
    <row r="2" spans="1:1" ht="15" customHeight="1">
      <c r="A2" s="60"/>
    </row>
    <row r="3" spans="1:1" ht="15" customHeight="1">
      <c r="A3" s="60"/>
    </row>
    <row r="4" spans="1:1" ht="15" customHeight="1">
      <c r="A4" s="60"/>
    </row>
    <row r="5" spans="1:1" ht="15" customHeight="1">
      <c r="A5" s="60"/>
    </row>
    <row r="6" spans="1:1" ht="15" customHeight="1">
      <c r="A6" s="60"/>
    </row>
    <row r="7" spans="1:1" ht="15" customHeight="1">
      <c r="A7" s="60"/>
    </row>
    <row r="8" spans="1:1" ht="15" customHeight="1">
      <c r="A8" s="60"/>
    </row>
    <row r="9" spans="1:1" ht="15" customHeight="1">
      <c r="A9" s="60"/>
    </row>
    <row r="10" spans="1:1" ht="15" customHeight="1">
      <c r="A10" s="60"/>
    </row>
    <row r="11" spans="1:1" ht="15" customHeight="1">
      <c r="A11" s="60"/>
    </row>
    <row r="12" spans="1:1" ht="15" customHeight="1">
      <c r="A12" s="60"/>
    </row>
    <row r="13" spans="1:1" ht="15" customHeight="1">
      <c r="A13" s="60"/>
    </row>
    <row r="14" spans="1:1" ht="15" customHeight="1">
      <c r="A14" s="60"/>
    </row>
    <row r="15" spans="1:1" ht="15" customHeight="1">
      <c r="A15" s="60"/>
    </row>
    <row r="16" spans="1:1" ht="15" customHeight="1">
      <c r="A16" s="60"/>
    </row>
    <row r="17" spans="1:1" ht="15" customHeight="1">
      <c r="A17" s="60"/>
    </row>
    <row r="18" spans="1:1" ht="15" customHeight="1">
      <c r="A18" s="60"/>
    </row>
    <row r="19" spans="1:1" ht="15" customHeight="1">
      <c r="A19" s="60"/>
    </row>
    <row r="20" spans="1:1" ht="15" customHeight="1">
      <c r="A20" s="60"/>
    </row>
    <row r="21" spans="1:1" ht="15" customHeight="1">
      <c r="A21" s="60"/>
    </row>
    <row r="22" spans="1:1" ht="15" customHeight="1">
      <c r="A22" s="60"/>
    </row>
    <row r="23" spans="1:1" ht="15" customHeight="1">
      <c r="A23" s="60"/>
    </row>
    <row r="24" spans="1:1" ht="15" customHeight="1">
      <c r="A24" s="60"/>
    </row>
    <row r="25" spans="1:1" ht="15" customHeight="1">
      <c r="A25" s="60"/>
    </row>
    <row r="26" spans="1:1" ht="15" customHeight="1">
      <c r="A26" s="60"/>
    </row>
    <row r="27" spans="1:1" ht="15" customHeight="1">
      <c r="A27" s="60"/>
    </row>
    <row r="28" spans="1:1" ht="15" customHeight="1">
      <c r="A28" s="60"/>
    </row>
    <row r="29" spans="1:1" ht="15" customHeight="1">
      <c r="A29" s="60"/>
    </row>
    <row r="30" spans="1:1" ht="15" customHeight="1">
      <c r="A30" s="60"/>
    </row>
    <row r="31" spans="1:1" ht="15" customHeight="1">
      <c r="A31" s="60"/>
    </row>
    <row r="32" spans="1:1" ht="15" customHeight="1">
      <c r="A32" s="60"/>
    </row>
    <row r="33" spans="1:1" ht="15" customHeight="1">
      <c r="A33" s="60"/>
    </row>
    <row r="34" spans="1:1" ht="15" customHeight="1">
      <c r="A34" s="60"/>
    </row>
    <row r="35" spans="1:1" ht="15" customHeight="1">
      <c r="A35" s="60"/>
    </row>
    <row r="36" spans="1:1" ht="15" customHeight="1">
      <c r="A36" s="60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Cover</vt:lpstr>
      <vt:lpstr>Análisis</vt:lpstr>
      <vt:lpstr>MODELO NORMAL</vt:lpstr>
      <vt:lpstr>COGS &amp; SG&amp;A</vt:lpstr>
      <vt:lpstr>P&amp;L</vt:lpstr>
      <vt:lpstr>Cashflow</vt:lpstr>
      <vt:lpstr>Amortizacion</vt:lpstr>
      <vt:lpstr>KPI Dashboard</vt:lpstr>
      <vt:lpstr>Balance</vt:lpstr>
      <vt:lpstr>Full1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IVAN SÁNCHEZ SÁNCHEZ</cp:lastModifiedBy>
  <cp:revision>0</cp:revision>
  <dcterms:created xsi:type="dcterms:W3CDTF">2026-04-17T14:22:25Z</dcterms:created>
  <dcterms:modified xsi:type="dcterms:W3CDTF">2026-04-17T21:13:55Z</dcterms:modified>
  <dc:language>en-US</dc:language>
</cp:coreProperties>
</file>